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PruebasCLAUDE\PRESENTACIÓN 2 - TESIS\"/>
    </mc:Choice>
  </mc:AlternateContent>
  <xr:revisionPtr revIDLastSave="0" documentId="13_ncr:1_{BE27307A-4ECC-435A-B8C3-E02AEC161D81}" xr6:coauthVersionLast="47" xr6:coauthVersionMax="47" xr10:uidLastSave="{00000000-0000-0000-0000-000000000000}"/>
  <bookViews>
    <workbookView xWindow="-98" yWindow="-98" windowWidth="21795" windowHeight="12975" firstSheet="3" activeTab="6" xr2:uid="{3EE2B37F-5A33-4537-BA32-C00705F6B96A}"/>
  </bookViews>
  <sheets>
    <sheet name="Presión de Viento" sheetId="17" r:id="rId1"/>
    <sheet name="Presiones vs Altura" sheetId="18" r:id="rId2"/>
    <sheet name="Cp - techos" sheetId="8" state="hidden" r:id="rId3"/>
    <sheet name="Resumen Cp" sheetId="11" r:id="rId4"/>
    <sheet name="SPRFV - Cara Corta" sheetId="15" r:id="rId5"/>
    <sheet name="SPRFV - Cara Larga" sheetId="16" r:id="rId6"/>
    <sheet name="Fuerzas Totales" sheetId="19" r:id="rId7"/>
    <sheet name="FUERZAS SAP2000" sheetId="2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2" i="19" l="1"/>
  <c r="D16" i="19"/>
  <c r="G33" i="19"/>
  <c r="G44" i="19"/>
  <c r="D44" i="19"/>
  <c r="D33" i="19"/>
  <c r="D27" i="19"/>
  <c r="C49" i="19" s="1"/>
  <c r="D26" i="19"/>
  <c r="D25" i="19"/>
  <c r="C47" i="19" s="1"/>
  <c r="E47" i="19" s="1"/>
  <c r="F47" i="19" s="1"/>
  <c r="D24" i="19"/>
  <c r="D20" i="19"/>
  <c r="C38" i="19" s="1"/>
  <c r="D19" i="19"/>
  <c r="C37" i="19" s="1"/>
  <c r="D18" i="19"/>
  <c r="C36" i="19" s="1"/>
  <c r="D17" i="19"/>
  <c r="C35" i="19" s="1"/>
  <c r="E27" i="19"/>
  <c r="E26" i="19"/>
  <c r="E25" i="19"/>
  <c r="E24" i="19"/>
  <c r="E20" i="19"/>
  <c r="E19" i="19"/>
  <c r="E18" i="19"/>
  <c r="E17" i="19"/>
  <c r="C48" i="19"/>
  <c r="H48" i="19" s="1"/>
  <c r="I48" i="19" s="1"/>
  <c r="D23" i="19"/>
  <c r="D15" i="19"/>
  <c r="C32" i="19" s="1"/>
  <c r="G49" i="19"/>
  <c r="D49" i="19"/>
  <c r="G48" i="19"/>
  <c r="D48" i="19"/>
  <c r="G47" i="19"/>
  <c r="D47" i="19"/>
  <c r="C46" i="19"/>
  <c r="G45" i="19"/>
  <c r="D45" i="19"/>
  <c r="C45" i="19"/>
  <c r="H45" i="19" s="1"/>
  <c r="I45" i="19" s="1"/>
  <c r="G43" i="19"/>
  <c r="D43" i="19"/>
  <c r="C43" i="19"/>
  <c r="E43" i="19" s="1"/>
  <c r="G34" i="19"/>
  <c r="D34" i="19"/>
  <c r="G32" i="19"/>
  <c r="D32" i="19"/>
  <c r="C16" i="19"/>
  <c r="C15" i="19"/>
  <c r="C10" i="19"/>
  <c r="C9" i="19"/>
  <c r="C8" i="19"/>
  <c r="C7" i="19"/>
  <c r="B4" i="15"/>
  <c r="A2" i="17"/>
  <c r="B8" i="11"/>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B105" i="18" s="1"/>
  <c r="A106" i="18"/>
  <c r="A107" i="18"/>
  <c r="B107" i="18" s="1"/>
  <c r="A108" i="18"/>
  <c r="B108" i="18" s="1"/>
  <c r="A109" i="18"/>
  <c r="A110" i="18"/>
  <c r="B110" i="18" s="1"/>
  <c r="A111" i="18"/>
  <c r="B111" i="18" s="1"/>
  <c r="A112" i="18"/>
  <c r="B112" i="18" s="1"/>
  <c r="A113" i="18"/>
  <c r="A114" i="18"/>
  <c r="A115" i="18"/>
  <c r="B115" i="18"/>
  <c r="A116" i="18"/>
  <c r="B116" i="18"/>
  <c r="A117" i="18"/>
  <c r="B117" i="18" s="1"/>
  <c r="A118" i="18"/>
  <c r="B118" i="18"/>
  <c r="C118" i="18"/>
  <c r="A119" i="18"/>
  <c r="B119" i="18" s="1"/>
  <c r="A120" i="18"/>
  <c r="B120" i="18" s="1"/>
  <c r="A121" i="18"/>
  <c r="B121" i="18" s="1"/>
  <c r="A122" i="18"/>
  <c r="B122" i="18" s="1"/>
  <c r="A123" i="18"/>
  <c r="B123" i="18" s="1"/>
  <c r="A124" i="18"/>
  <c r="A125" i="18"/>
  <c r="B125" i="18"/>
  <c r="A126" i="18"/>
  <c r="B126" i="18" s="1"/>
  <c r="A127" i="18"/>
  <c r="B127" i="18" s="1"/>
  <c r="C127" i="18" s="1"/>
  <c r="A128" i="18"/>
  <c r="B128" i="18"/>
  <c r="A129" i="18"/>
  <c r="A130" i="18"/>
  <c r="B130" i="18" s="1"/>
  <c r="C130" i="18"/>
  <c r="A131" i="18"/>
  <c r="B131" i="18" s="1"/>
  <c r="A132" i="18"/>
  <c r="B132" i="18"/>
  <c r="A133" i="18"/>
  <c r="B133" i="18" s="1"/>
  <c r="A134" i="18"/>
  <c r="A135" i="18"/>
  <c r="B135" i="18" s="1"/>
  <c r="A136" i="18"/>
  <c r="B136" i="18" s="1"/>
  <c r="A137" i="18"/>
  <c r="B137" i="18" s="1"/>
  <c r="A138" i="18"/>
  <c r="A139" i="18"/>
  <c r="B139" i="18" s="1"/>
  <c r="A140" i="18"/>
  <c r="A141" i="18"/>
  <c r="B141" i="18"/>
  <c r="A142" i="18"/>
  <c r="B142" i="18"/>
  <c r="A143" i="18"/>
  <c r="B143" i="18" s="1"/>
  <c r="C143" i="18"/>
  <c r="A144" i="18"/>
  <c r="A145" i="18"/>
  <c r="B145" i="18" s="1"/>
  <c r="A146" i="18"/>
  <c r="B146" i="18" s="1"/>
  <c r="C146" i="18" s="1"/>
  <c r="A147" i="18"/>
  <c r="B147" i="18"/>
  <c r="A148" i="18"/>
  <c r="B148" i="18"/>
  <c r="A149" i="18"/>
  <c r="B149" i="18" s="1"/>
  <c r="A150" i="18"/>
  <c r="B150" i="18"/>
  <c r="C150" i="18"/>
  <c r="A151" i="18"/>
  <c r="B151" i="18"/>
  <c r="C151" i="18"/>
  <c r="A152" i="18"/>
  <c r="B152" i="18" s="1"/>
  <c r="A153" i="18"/>
  <c r="B153" i="18" s="1"/>
  <c r="A154" i="18"/>
  <c r="B154" i="18" s="1"/>
  <c r="C154" i="18" s="1"/>
  <c r="A155" i="18"/>
  <c r="B155" i="18" s="1"/>
  <c r="A156" i="18"/>
  <c r="B156" i="18" s="1"/>
  <c r="A157" i="18"/>
  <c r="A158" i="18"/>
  <c r="B158" i="18"/>
  <c r="A159" i="18"/>
  <c r="B159" i="18" s="1"/>
  <c r="A160" i="18"/>
  <c r="B160" i="18"/>
  <c r="A161" i="18"/>
  <c r="A162" i="18"/>
  <c r="A163" i="18"/>
  <c r="B163" i="18" s="1"/>
  <c r="A164" i="18"/>
  <c r="B164" i="18" s="1"/>
  <c r="A165" i="18"/>
  <c r="B165" i="18"/>
  <c r="A166" i="18"/>
  <c r="B166" i="18" s="1"/>
  <c r="A167" i="18"/>
  <c r="A168" i="18"/>
  <c r="B168" i="18" s="1"/>
  <c r="A169" i="18"/>
  <c r="B169" i="18" s="1"/>
  <c r="A170" i="18"/>
  <c r="B170" i="18"/>
  <c r="C170" i="18"/>
  <c r="A171" i="18"/>
  <c r="B171" i="18" s="1"/>
  <c r="A172" i="18"/>
  <c r="A173" i="18"/>
  <c r="A174" i="18"/>
  <c r="A175" i="18"/>
  <c r="B175" i="18" s="1"/>
  <c r="A176" i="18"/>
  <c r="A177" i="18"/>
  <c r="B177" i="18" s="1"/>
  <c r="A178" i="18"/>
  <c r="C178" i="18" s="1"/>
  <c r="B178" i="18"/>
  <c r="A179" i="18"/>
  <c r="A180" i="18"/>
  <c r="B180" i="18"/>
  <c r="A181" i="18"/>
  <c r="A182" i="18"/>
  <c r="A183" i="18"/>
  <c r="A184" i="18"/>
  <c r="B184" i="18" s="1"/>
  <c r="C184" i="18"/>
  <c r="A185" i="18"/>
  <c r="B185" i="18" s="1"/>
  <c r="A186" i="18"/>
  <c r="A187" i="18"/>
  <c r="B187" i="18" s="1"/>
  <c r="A188" i="18"/>
  <c r="B188" i="18"/>
  <c r="C188" i="18"/>
  <c r="A189" i="18"/>
  <c r="B189" i="18" s="1"/>
  <c r="A190" i="18"/>
  <c r="A191" i="18"/>
  <c r="B191" i="18" s="1"/>
  <c r="A192" i="18"/>
  <c r="B192" i="18" s="1"/>
  <c r="A193" i="18"/>
  <c r="B193" i="18"/>
  <c r="A194" i="18"/>
  <c r="B194" i="18" s="1"/>
  <c r="A195" i="18"/>
  <c r="B195" i="18"/>
  <c r="A196" i="18"/>
  <c r="B196" i="18" s="1"/>
  <c r="C196" i="18"/>
  <c r="A197" i="18"/>
  <c r="B197" i="18"/>
  <c r="A198" i="18"/>
  <c r="B198" i="18"/>
  <c r="A199" i="18"/>
  <c r="B199" i="18" s="1"/>
  <c r="A200" i="18"/>
  <c r="B200" i="18" s="1"/>
  <c r="A201" i="18"/>
  <c r="B201" i="18" s="1"/>
  <c r="A202" i="18"/>
  <c r="B202" i="18" s="1"/>
  <c r="A203" i="18"/>
  <c r="B203" i="18" s="1"/>
  <c r="A204" i="18"/>
  <c r="B204" i="18" s="1"/>
  <c r="C204" i="18" s="1"/>
  <c r="A205" i="18"/>
  <c r="A206" i="18"/>
  <c r="B206" i="18"/>
  <c r="A207" i="18"/>
  <c r="B207" i="18" s="1"/>
  <c r="C207" i="18"/>
  <c r="A208" i="18"/>
  <c r="A209" i="18"/>
  <c r="B209" i="18" s="1"/>
  <c r="A210" i="18"/>
  <c r="A211" i="18"/>
  <c r="B211" i="18" s="1"/>
  <c r="A212" i="18"/>
  <c r="C212" i="18" s="1"/>
  <c r="B212" i="18"/>
  <c r="A213" i="18"/>
  <c r="A214" i="18"/>
  <c r="A215" i="18"/>
  <c r="B215" i="18" s="1"/>
  <c r="A16" i="18"/>
  <c r="F8" i="18"/>
  <c r="E8" i="18"/>
  <c r="D8" i="18"/>
  <c r="C8" i="18"/>
  <c r="B8" i="18"/>
  <c r="B7" i="18"/>
  <c r="B6" i="18"/>
  <c r="B5" i="18"/>
  <c r="B13" i="18"/>
  <c r="B11" i="18"/>
  <c r="B7" i="11"/>
  <c r="B6" i="11"/>
  <c r="B5" i="11"/>
  <c r="B4" i="11"/>
  <c r="C12" i="17"/>
  <c r="C11" i="17"/>
  <c r="C14" i="17" s="1"/>
  <c r="C35" i="17"/>
  <c r="C34" i="17"/>
  <c r="C9" i="18" s="1"/>
  <c r="C33" i="17"/>
  <c r="B9" i="18" s="1"/>
  <c r="B24" i="16"/>
  <c r="B22" i="16"/>
  <c r="B14" i="16"/>
  <c r="B12" i="16"/>
  <c r="B24" i="15"/>
  <c r="B14" i="15"/>
  <c r="B12" i="15"/>
  <c r="B22" i="15" s="1"/>
  <c r="C44" i="19" l="1"/>
  <c r="H44" i="19" s="1"/>
  <c r="C34" i="19"/>
  <c r="E49" i="19"/>
  <c r="F49" i="19" s="1"/>
  <c r="H49" i="19"/>
  <c r="I49" i="19" s="1"/>
  <c r="E48" i="19"/>
  <c r="F48" i="19" s="1"/>
  <c r="H47" i="19"/>
  <c r="I47" i="19" s="1"/>
  <c r="E45" i="19"/>
  <c r="F45" i="19" s="1"/>
  <c r="F43" i="19"/>
  <c r="H43" i="19"/>
  <c r="E32" i="19"/>
  <c r="H32" i="19"/>
  <c r="C33" i="19"/>
  <c r="C215" i="18"/>
  <c r="C133" i="18"/>
  <c r="C189" i="18"/>
  <c r="F133" i="18"/>
  <c r="F179" i="18"/>
  <c r="C142" i="18"/>
  <c r="F178" i="18"/>
  <c r="C158" i="18"/>
  <c r="F158" i="18" s="1"/>
  <c r="C119" i="18"/>
  <c r="C112" i="18"/>
  <c r="C177" i="18"/>
  <c r="F177" i="18" s="1"/>
  <c r="C166" i="18"/>
  <c r="F166" i="18" s="1"/>
  <c r="C148" i="18"/>
  <c r="C111" i="18"/>
  <c r="F111" i="18" s="1"/>
  <c r="C125" i="18"/>
  <c r="C180" i="18"/>
  <c r="C115" i="18"/>
  <c r="C160" i="18"/>
  <c r="C206" i="18"/>
  <c r="C205" i="18"/>
  <c r="F205" i="18" s="1"/>
  <c r="F212" i="18"/>
  <c r="F193" i="18"/>
  <c r="C128" i="18"/>
  <c r="F128" i="18" s="1"/>
  <c r="C110" i="18"/>
  <c r="F110" i="18" s="1"/>
  <c r="C116" i="18"/>
  <c r="F116" i="18" s="1"/>
  <c r="F170" i="18"/>
  <c r="C141" i="18"/>
  <c r="C195" i="18"/>
  <c r="F204" i="18"/>
  <c r="C211" i="18"/>
  <c r="F211" i="18" s="1"/>
  <c r="C174" i="18"/>
  <c r="F174" i="18" s="1"/>
  <c r="C165" i="18"/>
  <c r="F118" i="18"/>
  <c r="C109" i="18"/>
  <c r="F109" i="18" s="1"/>
  <c r="C197" i="18"/>
  <c r="F119" i="18"/>
  <c r="F147" i="18"/>
  <c r="C200" i="18"/>
  <c r="F200" i="18" s="1"/>
  <c r="C192" i="18"/>
  <c r="F192" i="18" s="1"/>
  <c r="C182" i="18"/>
  <c r="C173" i="18"/>
  <c r="C164" i="18"/>
  <c r="F164" i="18" s="1"/>
  <c r="F154" i="18"/>
  <c r="F146" i="18"/>
  <c r="C117" i="18"/>
  <c r="F117" i="18" s="1"/>
  <c r="C198" i="18"/>
  <c r="F198" i="18" s="1"/>
  <c r="F188" i="18"/>
  <c r="F150" i="18"/>
  <c r="C129" i="18"/>
  <c r="F129" i="18" s="1"/>
  <c r="C181" i="18"/>
  <c r="F181" i="18" s="1"/>
  <c r="C144" i="18"/>
  <c r="F144" i="18" s="1"/>
  <c r="F151" i="18"/>
  <c r="C132" i="18"/>
  <c r="F132" i="18" s="1"/>
  <c r="C190" i="18"/>
  <c r="F190" i="18" s="1"/>
  <c r="B181" i="18"/>
  <c r="B172" i="18"/>
  <c r="C172" i="18" s="1"/>
  <c r="F172" i="18" s="1"/>
  <c r="C145" i="18"/>
  <c r="B134" i="18"/>
  <c r="C134" i="18" s="1"/>
  <c r="F134" i="18" s="1"/>
  <c r="C126" i="18"/>
  <c r="F126" i="18" s="1"/>
  <c r="F130" i="18"/>
  <c r="C199" i="18"/>
  <c r="F199" i="18" s="1"/>
  <c r="C175" i="18"/>
  <c r="B157" i="18"/>
  <c r="C157" i="18" s="1"/>
  <c r="F157" i="18" s="1"/>
  <c r="F123" i="18"/>
  <c r="F165" i="18"/>
  <c r="B208" i="18"/>
  <c r="C208" i="18" s="1"/>
  <c r="F208" i="18" s="1"/>
  <c r="C191" i="18"/>
  <c r="B182" i="18"/>
  <c r="B174" i="18"/>
  <c r="C147" i="18"/>
  <c r="B140" i="18"/>
  <c r="C140" i="18" s="1"/>
  <c r="F140" i="18" s="1"/>
  <c r="C131" i="18"/>
  <c r="F131" i="18" s="1"/>
  <c r="C193" i="18"/>
  <c r="B186" i="18"/>
  <c r="C186" i="18" s="1"/>
  <c r="F186" i="18" s="1"/>
  <c r="B179" i="18"/>
  <c r="C179" i="18" s="1"/>
  <c r="C108" i="18"/>
  <c r="F108" i="18" s="1"/>
  <c r="B214" i="18"/>
  <c r="C214" i="18" s="1"/>
  <c r="F214" i="18" s="1"/>
  <c r="B162" i="18"/>
  <c r="C162" i="18" s="1"/>
  <c r="F162" i="18" s="1"/>
  <c r="B106" i="18"/>
  <c r="C106" i="18" s="1"/>
  <c r="F106" i="18" s="1"/>
  <c r="F191" i="18"/>
  <c r="F145" i="18"/>
  <c r="B124" i="18"/>
  <c r="C124" i="18" s="1"/>
  <c r="F124" i="18" s="1"/>
  <c r="F196" i="18"/>
  <c r="B183" i="18"/>
  <c r="C183" i="18" s="1"/>
  <c r="F183" i="18" s="1"/>
  <c r="C167" i="18"/>
  <c r="F167" i="18" s="1"/>
  <c r="C161" i="18"/>
  <c r="F161" i="18" s="1"/>
  <c r="C152" i="18"/>
  <c r="B138" i="18"/>
  <c r="C138" i="18" s="1"/>
  <c r="F138" i="18" s="1"/>
  <c r="C113" i="18"/>
  <c r="F113" i="18" s="1"/>
  <c r="F189" i="18"/>
  <c r="F197" i="18"/>
  <c r="B213" i="18"/>
  <c r="C213" i="18" s="1"/>
  <c r="F213" i="18" s="1"/>
  <c r="B205" i="18"/>
  <c r="B190" i="18"/>
  <c r="B167" i="18"/>
  <c r="B161" i="18"/>
  <c r="B113" i="18"/>
  <c r="F182" i="18"/>
  <c r="F159" i="18"/>
  <c r="F112" i="18"/>
  <c r="F215" i="18"/>
  <c r="F180" i="18"/>
  <c r="F143" i="18"/>
  <c r="B210" i="18"/>
  <c r="C210" i="18" s="1"/>
  <c r="F210" i="18" s="1"/>
  <c r="C194" i="18"/>
  <c r="F194" i="18" s="1"/>
  <c r="B173" i="18"/>
  <c r="C159" i="18"/>
  <c r="B144" i="18"/>
  <c r="C136" i="18"/>
  <c r="B129" i="18"/>
  <c r="C120" i="18"/>
  <c r="F120" i="18" s="1"/>
  <c r="B114" i="18"/>
  <c r="C114" i="18" s="1"/>
  <c r="F114" i="18" s="1"/>
  <c r="F135" i="18"/>
  <c r="F127" i="18"/>
  <c r="F142" i="18"/>
  <c r="F125" i="18"/>
  <c r="C13" i="17"/>
  <c r="C202" i="18"/>
  <c r="C163" i="18"/>
  <c r="F163" i="18" s="1"/>
  <c r="F202" i="18"/>
  <c r="F122" i="18"/>
  <c r="F141" i="18"/>
  <c r="F139" i="18"/>
  <c r="C209" i="18"/>
  <c r="C156" i="18"/>
  <c r="F156" i="18" s="1"/>
  <c r="C149" i="18"/>
  <c r="F149" i="18" s="1"/>
  <c r="C135" i="18"/>
  <c r="C122" i="18"/>
  <c r="B109" i="18"/>
  <c r="F105" i="18"/>
  <c r="F148" i="18"/>
  <c r="F195" i="18"/>
  <c r="F115" i="18"/>
  <c r="F209" i="18"/>
  <c r="F160" i="18"/>
  <c r="F207" i="18"/>
  <c r="F175" i="18"/>
  <c r="F206" i="18"/>
  <c r="F173" i="18"/>
  <c r="F187" i="18"/>
  <c r="F171" i="18"/>
  <c r="F155" i="18"/>
  <c r="B176" i="18"/>
  <c r="C176" i="18" s="1"/>
  <c r="F176" i="18" s="1"/>
  <c r="C168" i="18"/>
  <c r="F168" i="18" s="1"/>
  <c r="B33" i="18"/>
  <c r="F184" i="18"/>
  <c r="F152" i="18"/>
  <c r="F136" i="18"/>
  <c r="B35" i="18"/>
  <c r="C35" i="18" s="1"/>
  <c r="F35" i="18" s="1"/>
  <c r="B22" i="18"/>
  <c r="C22" i="18" s="1"/>
  <c r="F22" i="18" s="1"/>
  <c r="B16" i="18"/>
  <c r="C16" i="18" s="1"/>
  <c r="F16" i="18" s="1"/>
  <c r="B103" i="18"/>
  <c r="C103" i="18" s="1"/>
  <c r="F103" i="18" s="1"/>
  <c r="B68" i="18"/>
  <c r="C68" i="18" s="1"/>
  <c r="F68" i="18" s="1"/>
  <c r="B61" i="18"/>
  <c r="C61" i="18" s="1"/>
  <c r="F61" i="18" s="1"/>
  <c r="B20" i="18"/>
  <c r="C20" i="18" s="1"/>
  <c r="F20" i="18" s="1"/>
  <c r="B75" i="18"/>
  <c r="C75" i="18" s="1"/>
  <c r="F75" i="18" s="1"/>
  <c r="B21" i="18"/>
  <c r="C21" i="18" s="1"/>
  <c r="F21" i="18" s="1"/>
  <c r="B88" i="18"/>
  <c r="C88" i="18" s="1"/>
  <c r="F88" i="18" s="1"/>
  <c r="B82" i="18"/>
  <c r="C82" i="18" s="1"/>
  <c r="F82" i="18" s="1"/>
  <c r="B53" i="18"/>
  <c r="C53" i="18" s="1"/>
  <c r="F53" i="18" s="1"/>
  <c r="B38" i="18"/>
  <c r="C38" i="18" s="1"/>
  <c r="F38" i="18" s="1"/>
  <c r="B30" i="18"/>
  <c r="C30" i="18" s="1"/>
  <c r="F30" i="18" s="1"/>
  <c r="C39" i="17"/>
  <c r="C40" i="17" s="1"/>
  <c r="C41" i="17" s="1"/>
  <c r="B102" i="18"/>
  <c r="C102" i="18" s="1"/>
  <c r="F102" i="18" s="1"/>
  <c r="B96" i="18"/>
  <c r="C96" i="18" s="1"/>
  <c r="F96" i="18" s="1"/>
  <c r="B74" i="18"/>
  <c r="C74" i="18" s="1"/>
  <c r="F74" i="18" s="1"/>
  <c r="B67" i="18"/>
  <c r="C67" i="18" s="1"/>
  <c r="F67" i="18" s="1"/>
  <c r="B60" i="18"/>
  <c r="C60" i="18" s="1"/>
  <c r="F60" i="18" s="1"/>
  <c r="B45" i="18"/>
  <c r="C45" i="18" s="1"/>
  <c r="F45" i="18" s="1"/>
  <c r="B19" i="18"/>
  <c r="C19" i="18" s="1"/>
  <c r="F19" i="18" s="1"/>
  <c r="B104" i="18"/>
  <c r="C104" i="18" s="1"/>
  <c r="F104" i="18" s="1"/>
  <c r="B69" i="18"/>
  <c r="C69" i="18" s="1"/>
  <c r="F69" i="18" s="1"/>
  <c r="B87" i="18"/>
  <c r="C87" i="18" s="1"/>
  <c r="F87" i="18" s="1"/>
  <c r="B52" i="18"/>
  <c r="C52" i="18" s="1"/>
  <c r="F52" i="18" s="1"/>
  <c r="B29" i="18"/>
  <c r="C29" i="18" s="1"/>
  <c r="F29" i="18" s="1"/>
  <c r="B18" i="18"/>
  <c r="C18" i="18" s="1"/>
  <c r="F18" i="18" s="1"/>
  <c r="B98" i="18"/>
  <c r="C98" i="18" s="1"/>
  <c r="F98" i="18" s="1"/>
  <c r="B89" i="18"/>
  <c r="C89" i="18" s="1"/>
  <c r="F89" i="18" s="1"/>
  <c r="B37" i="18"/>
  <c r="C37" i="18" s="1"/>
  <c r="F37" i="18" s="1"/>
  <c r="D9" i="18"/>
  <c r="B62" i="18"/>
  <c r="B97" i="18"/>
  <c r="C97" i="18" s="1"/>
  <c r="F97" i="18" s="1"/>
  <c r="B81" i="18"/>
  <c r="C81" i="18" s="1"/>
  <c r="F81" i="18" s="1"/>
  <c r="B101" i="18"/>
  <c r="C101" i="18" s="1"/>
  <c r="F101" i="18" s="1"/>
  <c r="B94" i="18"/>
  <c r="C94" i="18" s="1"/>
  <c r="F94" i="18" s="1"/>
  <c r="B72" i="18"/>
  <c r="C72" i="18" s="1"/>
  <c r="F72" i="18" s="1"/>
  <c r="B66" i="18"/>
  <c r="C66" i="18" s="1"/>
  <c r="F66" i="18" s="1"/>
  <c r="B44" i="18"/>
  <c r="C44" i="18" s="1"/>
  <c r="F44" i="18" s="1"/>
  <c r="B17" i="18"/>
  <c r="C17" i="18" s="1"/>
  <c r="F17" i="18" s="1"/>
  <c r="B95" i="18"/>
  <c r="C95" i="18" s="1"/>
  <c r="F95" i="18" s="1"/>
  <c r="B73" i="18"/>
  <c r="C73" i="18" s="1"/>
  <c r="F73" i="18" s="1"/>
  <c r="B59" i="18"/>
  <c r="C59" i="18" s="1"/>
  <c r="F59" i="18" s="1"/>
  <c r="B86" i="18"/>
  <c r="C86" i="18" s="1"/>
  <c r="F86" i="18" s="1"/>
  <c r="B80" i="18"/>
  <c r="C80" i="18" s="1"/>
  <c r="F80" i="18" s="1"/>
  <c r="B58" i="18"/>
  <c r="C58" i="18" s="1"/>
  <c r="F58" i="18" s="1"/>
  <c r="B51" i="18"/>
  <c r="C51" i="18" s="1"/>
  <c r="F51" i="18" s="1"/>
  <c r="B36" i="18"/>
  <c r="B28" i="18"/>
  <c r="C28" i="18" s="1"/>
  <c r="F28" i="18" s="1"/>
  <c r="B100" i="18"/>
  <c r="C100" i="18" s="1"/>
  <c r="F100" i="18" s="1"/>
  <c r="B93" i="18"/>
  <c r="C93" i="18" s="1"/>
  <c r="F93" i="18" s="1"/>
  <c r="B71" i="18"/>
  <c r="C71" i="18" s="1"/>
  <c r="F71" i="18" s="1"/>
  <c r="B43" i="18"/>
  <c r="C43" i="18" s="1"/>
  <c r="F43" i="18" s="1"/>
  <c r="C36" i="18"/>
  <c r="F36" i="18" s="1"/>
  <c r="B26" i="18"/>
  <c r="C26" i="18" s="1"/>
  <c r="F26" i="18" s="1"/>
  <c r="B47" i="18"/>
  <c r="C47" i="18" s="1"/>
  <c r="F47" i="18" s="1"/>
  <c r="B31" i="18"/>
  <c r="C31" i="18" s="1"/>
  <c r="F31" i="18" s="1"/>
  <c r="B79" i="18"/>
  <c r="C79" i="18" s="1"/>
  <c r="F79" i="18" s="1"/>
  <c r="B65" i="18"/>
  <c r="C65" i="18" s="1"/>
  <c r="F65" i="18" s="1"/>
  <c r="B85" i="18"/>
  <c r="C85" i="18" s="1"/>
  <c r="F85" i="18" s="1"/>
  <c r="B50" i="18"/>
  <c r="C50" i="18" s="1"/>
  <c r="F50" i="18" s="1"/>
  <c r="B99" i="18"/>
  <c r="C99" i="18" s="1"/>
  <c r="F99" i="18" s="1"/>
  <c r="B92" i="18"/>
  <c r="C92" i="18" s="1"/>
  <c r="F92" i="18" s="1"/>
  <c r="B70" i="18"/>
  <c r="C70" i="18" s="1"/>
  <c r="F70" i="18" s="1"/>
  <c r="B64" i="18"/>
  <c r="C64" i="18" s="1"/>
  <c r="F64" i="18" s="1"/>
  <c r="B25" i="18"/>
  <c r="C25" i="18" s="1"/>
  <c r="F25" i="18" s="1"/>
  <c r="B57" i="18"/>
  <c r="C57" i="18" s="1"/>
  <c r="F57" i="18" s="1"/>
  <c r="B78" i="18"/>
  <c r="C78" i="18" s="1"/>
  <c r="F78" i="18" s="1"/>
  <c r="B56" i="18"/>
  <c r="C56" i="18" s="1"/>
  <c r="F56" i="18" s="1"/>
  <c r="B42" i="18"/>
  <c r="C42" i="18" s="1"/>
  <c r="F42" i="18" s="1"/>
  <c r="B84" i="18"/>
  <c r="C84" i="18" s="1"/>
  <c r="F84" i="18" s="1"/>
  <c r="B77" i="18"/>
  <c r="C77" i="18" s="1"/>
  <c r="F77" i="18" s="1"/>
  <c r="B55" i="18"/>
  <c r="C55" i="18" s="1"/>
  <c r="F55" i="18" s="1"/>
  <c r="B41" i="18"/>
  <c r="C41" i="18" s="1"/>
  <c r="F41" i="18" s="1"/>
  <c r="B34" i="18"/>
  <c r="C34" i="18" s="1"/>
  <c r="F34" i="18" s="1"/>
  <c r="B24" i="18"/>
  <c r="C24" i="18" s="1"/>
  <c r="F24" i="18" s="1"/>
  <c r="B91" i="18"/>
  <c r="C91" i="18" s="1"/>
  <c r="F91" i="18" s="1"/>
  <c r="B63" i="18"/>
  <c r="C63" i="18" s="1"/>
  <c r="F63" i="18" s="1"/>
  <c r="B49" i="18"/>
  <c r="C49" i="18" s="1"/>
  <c r="F49" i="18" s="1"/>
  <c r="B40" i="18"/>
  <c r="C40" i="18" s="1"/>
  <c r="F40" i="18" s="1"/>
  <c r="B23" i="18"/>
  <c r="C23" i="18" s="1"/>
  <c r="F23" i="18" s="1"/>
  <c r="B90" i="18"/>
  <c r="C90" i="18" s="1"/>
  <c r="F90" i="18" s="1"/>
  <c r="B83" i="18"/>
  <c r="C83" i="18" s="1"/>
  <c r="F83" i="18" s="1"/>
  <c r="B76" i="18"/>
  <c r="C76" i="18" s="1"/>
  <c r="F76" i="18" s="1"/>
  <c r="C62" i="18"/>
  <c r="F62" i="18" s="1"/>
  <c r="B54" i="18"/>
  <c r="C54" i="18" s="1"/>
  <c r="F54" i="18" s="1"/>
  <c r="B48" i="18"/>
  <c r="C48" i="18" s="1"/>
  <c r="F48" i="18" s="1"/>
  <c r="B39" i="18"/>
  <c r="C39" i="18" s="1"/>
  <c r="F39" i="18" s="1"/>
  <c r="B32" i="18"/>
  <c r="C32" i="18" s="1"/>
  <c r="F32" i="18" s="1"/>
  <c r="C203" i="18"/>
  <c r="F203" i="18" s="1"/>
  <c r="C187" i="18"/>
  <c r="C171" i="18"/>
  <c r="C155" i="18"/>
  <c r="C139" i="18"/>
  <c r="C123" i="18"/>
  <c r="C107" i="18"/>
  <c r="F107" i="18" s="1"/>
  <c r="B27" i="18"/>
  <c r="C27" i="18" s="1"/>
  <c r="F27" i="18" s="1"/>
  <c r="B46" i="18"/>
  <c r="C46" i="18" s="1"/>
  <c r="F46" i="18" s="1"/>
  <c r="C201" i="18"/>
  <c r="F201" i="18" s="1"/>
  <c r="C185" i="18"/>
  <c r="F185" i="18" s="1"/>
  <c r="C169" i="18"/>
  <c r="F169" i="18" s="1"/>
  <c r="C153" i="18"/>
  <c r="F153" i="18" s="1"/>
  <c r="C137" i="18"/>
  <c r="F137" i="18" s="1"/>
  <c r="C121" i="18"/>
  <c r="F121" i="18" s="1"/>
  <c r="C105" i="18"/>
  <c r="C33" i="18"/>
  <c r="F33" i="18" s="1"/>
  <c r="H34" i="19" l="1"/>
  <c r="I34" i="19" s="1"/>
  <c r="E34" i="19"/>
  <c r="F34" i="19" s="1"/>
  <c r="I43" i="19"/>
  <c r="I32" i="19"/>
  <c r="F32" i="19"/>
  <c r="B4" i="16"/>
  <c r="B10" i="18"/>
  <c r="B5" i="15"/>
  <c r="B5" i="16" l="1"/>
  <c r="B6" i="15"/>
  <c r="B6" i="16" s="1"/>
  <c r="B30" i="8" l="1" a="1"/>
  <c r="B30" i="8" s="1"/>
  <c r="E46" i="8" a="1"/>
  <c r="E46" i="8" s="1"/>
  <c r="E94" i="8"/>
  <c r="E93" i="8"/>
  <c r="E92" i="8"/>
  <c r="E91" i="8"/>
  <c r="B29" i="8" a="1"/>
  <c r="B29" i="8" s="1"/>
  <c r="E19" i="11"/>
  <c r="C19" i="11"/>
  <c r="E17" i="11"/>
  <c r="C17" i="11"/>
  <c r="B10" i="11"/>
  <c r="B11" i="11" s="1"/>
  <c r="B9" i="11"/>
  <c r="B7" i="8"/>
  <c r="B99" i="8" s="1"/>
  <c r="B145" i="8" s="1"/>
  <c r="C152" i="8" s="1"/>
  <c r="C178" i="8" s="1"/>
  <c r="B6" i="8"/>
  <c r="B15" i="8" s="1"/>
  <c r="B5" i="8"/>
  <c r="B4" i="8"/>
  <c r="B175" i="8"/>
  <c r="B168" i="8"/>
  <c r="B166" i="8"/>
  <c r="B160" i="8"/>
  <c r="B91" i="8"/>
  <c r="B84" i="8"/>
  <c r="B82" i="8"/>
  <c r="B8" i="8" l="1"/>
  <c r="B144" i="8" s="1"/>
  <c r="B151" i="8" s="1"/>
  <c r="B177" i="8" s="1"/>
  <c r="B16" i="8"/>
  <c r="B9" i="8"/>
  <c r="B18" i="8"/>
  <c r="B76" i="8"/>
  <c r="B100" i="8"/>
  <c r="B61" i="8"/>
  <c r="C68" i="8" s="1"/>
  <c r="C94" i="8" s="1"/>
  <c r="C150" i="8" l="1"/>
  <c r="C176" i="8" s="1"/>
  <c r="B150" i="8"/>
  <c r="B176" i="8" s="1"/>
  <c r="B75" i="8"/>
  <c r="B152" i="8"/>
  <c r="B178" i="8" s="1"/>
  <c r="B17" i="8"/>
  <c r="B77" i="8" s="1"/>
  <c r="C149" i="8"/>
  <c r="C175" i="8" s="1"/>
  <c r="B146" i="8"/>
  <c r="D152" i="8" s="1"/>
  <c r="D178" i="8" s="1"/>
  <c r="E31" i="11" s="1"/>
  <c r="B18" i="16" s="1"/>
  <c r="C151" i="8"/>
  <c r="C177" i="8" s="1"/>
  <c r="B101" i="8"/>
  <c r="B161" i="8" s="1"/>
  <c r="B60" i="8"/>
  <c r="B67" i="8" s="1"/>
  <c r="B93" i="8" s="1"/>
  <c r="B162" i="8" s="1"/>
  <c r="B102" i="8"/>
  <c r="B105" i="8" s="1"/>
  <c r="B167" i="8" s="1"/>
  <c r="E18" i="11" s="1"/>
  <c r="B13" i="16" s="1"/>
  <c r="G144" i="8"/>
  <c r="G145" i="8" s="1"/>
  <c r="B131" i="8"/>
  <c r="G60" i="8"/>
  <c r="G61" i="8" s="1"/>
  <c r="B21" i="8"/>
  <c r="B83" i="8" s="1"/>
  <c r="C18" i="11" s="1"/>
  <c r="B13" i="15" s="1"/>
  <c r="D18" i="11"/>
  <c r="D17" i="11"/>
  <c r="E178" i="8"/>
  <c r="F31" i="11" s="1"/>
  <c r="B114" i="8" a="1"/>
  <c r="B114" i="8" s="1"/>
  <c r="C171" i="8" s="1"/>
  <c r="D29" i="11"/>
  <c r="D30" i="11"/>
  <c r="B113" i="8" a="1"/>
  <c r="B113" i="8" s="1"/>
  <c r="B171" i="8" s="1"/>
  <c r="C87" i="8"/>
  <c r="C23" i="11" s="1"/>
  <c r="B87" i="8"/>
  <c r="C22" i="11" s="1"/>
  <c r="D28" i="11"/>
  <c r="E177" i="8"/>
  <c r="F30" i="11" s="1"/>
  <c r="B47" i="8"/>
  <c r="E176" i="8"/>
  <c r="F29" i="11" s="1"/>
  <c r="B79" i="8"/>
  <c r="B78" i="8"/>
  <c r="E175" i="8"/>
  <c r="F28" i="11" s="1"/>
  <c r="D31" i="11"/>
  <c r="B88" i="8"/>
  <c r="C24" i="11" s="1"/>
  <c r="F18" i="11" l="1"/>
  <c r="F17" i="11"/>
  <c r="B62" i="8"/>
  <c r="D65" i="8" s="1"/>
  <c r="D91" i="8" s="1"/>
  <c r="C28" i="11" s="1"/>
  <c r="B15" i="15" s="1"/>
  <c r="B68" i="8"/>
  <c r="B94" i="8" s="1"/>
  <c r="B46" i="8"/>
  <c r="D149" i="8"/>
  <c r="D175" i="8" s="1"/>
  <c r="E28" i="11" s="1"/>
  <c r="B15" i="16" s="1"/>
  <c r="B25" i="16" s="1"/>
  <c r="D150" i="8"/>
  <c r="D176" i="8" s="1"/>
  <c r="E29" i="11" s="1"/>
  <c r="B16" i="16" s="1"/>
  <c r="D151" i="8"/>
  <c r="D177" i="8" s="1"/>
  <c r="E30" i="11" s="1"/>
  <c r="B17" i="16" s="1"/>
  <c r="B23" i="16"/>
  <c r="B23" i="15"/>
  <c r="C67" i="8"/>
  <c r="C93" i="8" s="1"/>
  <c r="C65" i="8"/>
  <c r="C91" i="8" s="1"/>
  <c r="B163" i="8"/>
  <c r="B130" i="8"/>
  <c r="B66" i="8"/>
  <c r="B92" i="8" s="1"/>
  <c r="B159" i="8" s="1"/>
  <c r="C66" i="8"/>
  <c r="C92" i="8" s="1"/>
  <c r="B26" i="16"/>
  <c r="B27" i="16"/>
  <c r="B28" i="16"/>
  <c r="E130" i="8" a="1"/>
  <c r="E130" i="8" s="1"/>
  <c r="B172" i="8" s="1"/>
  <c r="D67" i="8" l="1"/>
  <c r="D68" i="8"/>
  <c r="D66" i="8"/>
  <c r="B25" i="15"/>
  <c r="D93" i="8"/>
  <c r="C30" i="11" s="1"/>
  <c r="B17" i="15" s="1"/>
  <c r="D94" i="8"/>
  <c r="C31" i="11" s="1"/>
  <c r="B18" i="15" s="1"/>
  <c r="D92" i="8" l="1"/>
  <c r="C29" i="11" s="1"/>
  <c r="B16" i="15" s="1"/>
  <c r="B26" i="15"/>
  <c r="B27" i="15"/>
  <c r="B28" i="15"/>
  <c r="B7" i="15" l="1"/>
  <c r="G26" i="15" s="1"/>
  <c r="B7" i="16"/>
  <c r="G26" i="16" s="1"/>
  <c r="G15" i="16" l="1"/>
  <c r="G22" i="16"/>
  <c r="G24" i="16"/>
  <c r="G28" i="16"/>
  <c r="G23" i="15"/>
  <c r="G27" i="15"/>
  <c r="G22" i="15"/>
  <c r="G14" i="15"/>
  <c r="G18" i="15"/>
  <c r="G27" i="16"/>
  <c r="G12" i="16"/>
  <c r="G24" i="15"/>
  <c r="G18" i="16"/>
  <c r="G15" i="15"/>
  <c r="G16" i="16"/>
  <c r="G12" i="15"/>
  <c r="G25" i="16"/>
  <c r="G25" i="15"/>
  <c r="G23" i="16"/>
  <c r="G16" i="15"/>
  <c r="G17" i="16"/>
  <c r="G17" i="15"/>
  <c r="G14" i="16"/>
  <c r="G13" i="15"/>
  <c r="G13" i="16"/>
  <c r="G28" i="15"/>
  <c r="B8" i="15"/>
  <c r="F18" i="15" s="1"/>
  <c r="H18" i="15" s="1"/>
  <c r="D38" i="19" s="1"/>
  <c r="E38" i="19" s="1"/>
  <c r="F38" i="19" s="1"/>
  <c r="F22" i="15" l="1"/>
  <c r="H22" i="15" s="1"/>
  <c r="F12" i="15"/>
  <c r="H12" i="15" s="1"/>
  <c r="F16" i="15"/>
  <c r="H16" i="15" s="1"/>
  <c r="D36" i="19" s="1"/>
  <c r="E36" i="19" s="1"/>
  <c r="F36" i="19" s="1"/>
  <c r="E26" i="15"/>
  <c r="E16" i="15"/>
  <c r="E15" i="15"/>
  <c r="F23" i="15"/>
  <c r="H23" i="15" s="1"/>
  <c r="H33" i="19" s="1"/>
  <c r="E24" i="15"/>
  <c r="E27" i="15"/>
  <c r="E18" i="15"/>
  <c r="F15" i="15"/>
  <c r="H15" i="15" s="1"/>
  <c r="D35" i="19" s="1"/>
  <c r="E35" i="19" s="1"/>
  <c r="E13" i="15"/>
  <c r="F17" i="15"/>
  <c r="H17" i="15" s="1"/>
  <c r="D37" i="19" s="1"/>
  <c r="E37" i="19" s="1"/>
  <c r="F37" i="19" s="1"/>
  <c r="E23" i="15"/>
  <c r="E28" i="15"/>
  <c r="F13" i="15"/>
  <c r="H13" i="15" s="1"/>
  <c r="E33" i="19" s="1"/>
  <c r="F27" i="15"/>
  <c r="H27" i="15" s="1"/>
  <c r="G37" i="19" s="1"/>
  <c r="H37" i="19" s="1"/>
  <c r="I37" i="19" s="1"/>
  <c r="E25" i="15"/>
  <c r="F25" i="15"/>
  <c r="H25" i="15" s="1"/>
  <c r="G35" i="19" s="1"/>
  <c r="H35" i="19" s="1"/>
  <c r="E12" i="15"/>
  <c r="E17" i="15"/>
  <c r="F14" i="15"/>
  <c r="H14" i="15" s="1"/>
  <c r="F26" i="15"/>
  <c r="H26" i="15" s="1"/>
  <c r="G36" i="19" s="1"/>
  <c r="H36" i="19" s="1"/>
  <c r="I36" i="19" s="1"/>
  <c r="B8" i="16"/>
  <c r="F24" i="15"/>
  <c r="H24" i="15" s="1"/>
  <c r="E14" i="15"/>
  <c r="E22" i="15"/>
  <c r="F28" i="15"/>
  <c r="H28" i="15" s="1"/>
  <c r="G38" i="19" s="1"/>
  <c r="H38" i="19" s="1"/>
  <c r="I38" i="19" s="1"/>
  <c r="H39" i="19" l="1"/>
  <c r="I33" i="19"/>
  <c r="I39" i="19" s="1"/>
  <c r="E40" i="19"/>
  <c r="F35" i="19"/>
  <c r="F40" i="19" s="1"/>
  <c r="E39" i="19"/>
  <c r="F33" i="19"/>
  <c r="F39" i="19" s="1"/>
  <c r="H40" i="19"/>
  <c r="I35" i="19"/>
  <c r="I40" i="19" s="1"/>
  <c r="F15" i="16"/>
  <c r="H15" i="16" s="1"/>
  <c r="D46" i="19" s="1"/>
  <c r="E46" i="19" s="1"/>
  <c r="E16" i="16"/>
  <c r="E28" i="16"/>
  <c r="F24" i="16"/>
  <c r="H24" i="16" s="1"/>
  <c r="F27" i="16"/>
  <c r="H27" i="16" s="1"/>
  <c r="F22" i="16"/>
  <c r="H22" i="16" s="1"/>
  <c r="F28" i="16"/>
  <c r="H28" i="16" s="1"/>
  <c r="E17" i="16"/>
  <c r="E24" i="16"/>
  <c r="E22" i="16"/>
  <c r="F18" i="16"/>
  <c r="H18" i="16" s="1"/>
  <c r="F13" i="16"/>
  <c r="H13" i="16" s="1"/>
  <c r="E44" i="19" s="1"/>
  <c r="E12" i="16"/>
  <c r="F23" i="16"/>
  <c r="H23" i="16" s="1"/>
  <c r="E13" i="16"/>
  <c r="E25" i="16"/>
  <c r="E23" i="16"/>
  <c r="F26" i="16"/>
  <c r="H26" i="16" s="1"/>
  <c r="F16" i="16"/>
  <c r="H16" i="16" s="1"/>
  <c r="F17" i="16"/>
  <c r="H17" i="16" s="1"/>
  <c r="F25" i="16"/>
  <c r="H25" i="16" s="1"/>
  <c r="G46" i="19" s="1"/>
  <c r="H46" i="19" s="1"/>
  <c r="E27" i="16"/>
  <c r="E15" i="16"/>
  <c r="E26" i="16"/>
  <c r="F14" i="16"/>
  <c r="H14" i="16" s="1"/>
  <c r="F12" i="16"/>
  <c r="H12" i="16" s="1"/>
  <c r="E18" i="16"/>
  <c r="E14" i="16"/>
  <c r="E51" i="19" l="1"/>
  <c r="F46" i="19"/>
  <c r="F51" i="19" s="1"/>
  <c r="E50" i="19"/>
  <c r="F44" i="19"/>
  <c r="F50" i="19" s="1"/>
  <c r="H50" i="19"/>
  <c r="I44" i="19"/>
  <c r="I50" i="19" s="1"/>
  <c r="H51" i="19"/>
  <c r="I46" i="19"/>
  <c r="I51"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cristofer Bordones Armijo</author>
  </authors>
  <commentList>
    <comment ref="G144" authorId="0" shapeId="0" xr:uid="{1A787148-A594-48EA-BCCC-8547CAE6EB4D}">
      <text>
        <r>
          <rPr>
            <b/>
            <sz val="9"/>
            <color indexed="81"/>
            <rFont val="Tahoma"/>
            <family val="2"/>
          </rPr>
          <t>Área por faldón: (L × B / N°aguas) / cos(θ)
- 2 aguas: L × B/2 / cos(θ) → área de un faldón
- 1 agua: L × B / cos(θ) → área total cubierta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<sst xmlns="http://schemas.openxmlformats.org/spreadsheetml/2006/main" count="859" uniqueCount="478">
  <si>
    <t>h</t>
  </si>
  <si>
    <t>L</t>
  </si>
  <si>
    <t>h/L</t>
  </si>
  <si>
    <t>Cp</t>
  </si>
  <si>
    <t>Barlovento</t>
  </si>
  <si>
    <t>Sotavento</t>
  </si>
  <si>
    <t>Entradas</t>
  </si>
  <si>
    <t>Valores</t>
  </si>
  <si>
    <t>Resultados</t>
  </si>
  <si>
    <t>Fórmulas</t>
  </si>
  <si>
    <t>Ángulo θ</t>
  </si>
  <si>
    <t>Cp Sotavento</t>
  </si>
  <si>
    <t>Auxiliares</t>
  </si>
  <si>
    <t>h/L acotado</t>
  </si>
  <si>
    <t>h (Altura media)</t>
  </si>
  <si>
    <t>L (Largo en dir. del viento)</t>
  </si>
  <si>
    <t>Zona</t>
  </si>
  <si>
    <t>Desde (m)</t>
  </si>
  <si>
    <t>Hasta (m)</t>
  </si>
  <si>
    <t>Cp Caso 1 (Máx. Succión)</t>
  </si>
  <si>
    <t>Cp Caso 2 (Mín. Succión)</t>
  </si>
  <si>
    <t>1 (0 a h/2)</t>
  </si>
  <si>
    <t>2 (h/2 a h)</t>
  </si>
  <si>
    <t>3 (h a 2h)</t>
  </si>
  <si>
    <t>4 (&gt; 2h)</t>
  </si>
  <si>
    <t>Parámetros de entrada</t>
  </si>
  <si>
    <t>Tipo de techo</t>
  </si>
  <si>
    <t>Cp Barlovento Succión (Máx)</t>
  </si>
  <si>
    <t>Cp Barlovento Presión (Máx)</t>
  </si>
  <si>
    <t>Factor por Área</t>
  </si>
  <si>
    <t>Área zona (m²)</t>
  </si>
  <si>
    <t>Factor reducción (Fr)</t>
  </si>
  <si>
    <t>1. DATOS DE ENTRADA</t>
  </si>
  <si>
    <t>B</t>
  </si>
  <si>
    <t>m</t>
  </si>
  <si>
    <t>h cumbrera</t>
  </si>
  <si>
    <t>h hombro</t>
  </si>
  <si>
    <t>Parámetro</t>
  </si>
  <si>
    <t>Símbolo</t>
  </si>
  <si>
    <t>Valor</t>
  </si>
  <si>
    <t>Unidad</t>
  </si>
  <si>
    <t>Largo del galpón</t>
  </si>
  <si>
    <t>Ancho del galpón (⊥ cumbrera)</t>
  </si>
  <si>
    <t>Altura al alero</t>
  </si>
  <si>
    <t>h_e</t>
  </si>
  <si>
    <t>Altura a la cumbrera</t>
  </si>
  <si>
    <t>V</t>
  </si>
  <si>
    <t>m/s</t>
  </si>
  <si>
    <t>Factor de direccionalidad</t>
  </si>
  <si>
    <t>Factor topográfico</t>
  </si>
  <si>
    <t>Factor elevación del suelo</t>
  </si>
  <si>
    <t>G</t>
  </si>
  <si>
    <t>Exp</t>
  </si>
  <si>
    <t>Cerr</t>
  </si>
  <si>
    <t>Altura media del techo</t>
  </si>
  <si>
    <t>θ</t>
  </si>
  <si>
    <t>°</t>
  </si>
  <si>
    <t>h/B</t>
  </si>
  <si>
    <t>1. CP MUROS</t>
  </si>
  <si>
    <t>3. CP TECHO - BARLOVENTO PARA PENDIENTES MAYORES A 10°</t>
  </si>
  <si>
    <t>4. CP TECHO - SOTAVENTO PARA PENDIENTES MAYORES A 10°</t>
  </si>
  <si>
    <t>5. CP TECHO - TECHOS PLANOS MENORES A 10°</t>
  </si>
  <si>
    <t>6. RESUMEN</t>
  </si>
  <si>
    <t>hz=h</t>
  </si>
  <si>
    <t>Condición</t>
  </si>
  <si>
    <t>qz=qh</t>
  </si>
  <si>
    <t>L/B</t>
  </si>
  <si>
    <t>ANÁLISIS EN DIRECCION PERPENDICULAR A LA CARA CORTA DEL EDIFICIO</t>
  </si>
  <si>
    <t>Cp Barlovento</t>
  </si>
  <si>
    <t>Cp Muro Lateral</t>
  </si>
  <si>
    <t>usar con qz</t>
  </si>
  <si>
    <t>usar con qh</t>
  </si>
  <si>
    <t>Cp Muros</t>
  </si>
  <si>
    <t>Muro Lateral</t>
  </si>
  <si>
    <t>Usar con</t>
  </si>
  <si>
    <t>qz</t>
  </si>
  <si>
    <t>qh</t>
  </si>
  <si>
    <t>Cp Techo (pendientes &gt; 10°)</t>
  </si>
  <si>
    <t>Cp Succión</t>
  </si>
  <si>
    <t>Cp Presión</t>
  </si>
  <si>
    <t>Cp Techo Plano / Normal a cumbrera</t>
  </si>
  <si>
    <t>Cp Caso 1</t>
  </si>
  <si>
    <t>Cp Caso 2</t>
  </si>
  <si>
    <t>ANÁLISIS EN DIRECCION PERPENDICULAR A LA CARA LARGA DEL EDIFICIO</t>
  </si>
  <si>
    <t>RESUMEN COEFICIENTES DE PRESIÓN - Cp</t>
  </si>
  <si>
    <t>Perpendicular cara CORTA</t>
  </si>
  <si>
    <t>Perpendicular cara LARGA</t>
  </si>
  <si>
    <t>Superficie</t>
  </si>
  <si>
    <t>CP MUROS</t>
  </si>
  <si>
    <t>—</t>
  </si>
  <si>
    <t>CP TECHO (pendientes &gt; 10°)</t>
  </si>
  <si>
    <t>Barlovento (Succión Máx)</t>
  </si>
  <si>
    <t>Barlovento (Presión Máx)</t>
  </si>
  <si>
    <t>B (ancho)</t>
  </si>
  <si>
    <t>h (altura media)</t>
  </si>
  <si>
    <t>DATOS DE ENTRADA</t>
  </si>
  <si>
    <t>CP TECHO PLANO / NORMAL A CUMBRERA</t>
  </si>
  <si>
    <t>N° de aguas</t>
  </si>
  <si>
    <t>aguas</t>
  </si>
  <si>
    <t>(L × B/2 × N°aguas) / cos(θ)</t>
  </si>
  <si>
    <t>L (largo)</t>
  </si>
  <si>
    <t>Descripción</t>
  </si>
  <si>
    <t>N/m²</t>
  </si>
  <si>
    <t>kgf/m²</t>
  </si>
  <si>
    <t>PRESIONES DE DISEÑO SPRFV - VALORES PARA SAP2000 [kgf/m²]</t>
  </si>
  <si>
    <t>Ecuación: p = q·Kd·G·Cp − qh·Kd·(GCpi)    (NCh432:2025 Ec. 4)</t>
  </si>
  <si>
    <t>CASO A: VIENTO ⊥ CUMBRERA (sobre B = 50 m) + Presión Interna POSITIVA (+0,18)</t>
  </si>
  <si>
    <t>GCpi</t>
  </si>
  <si>
    <t>q usado</t>
  </si>
  <si>
    <t>Cp·G</t>
  </si>
  <si>
    <t>p externa
(kgf/m²)</t>
  </si>
  <si>
    <t>p interna
(kgf/m²)</t>
  </si>
  <si>
    <t>p NETA
(kgf/m²)</t>
  </si>
  <si>
    <t>Muro barlovento</t>
  </si>
  <si>
    <t>Muro de sotavento</t>
  </si>
  <si>
    <t>Muros laterales</t>
  </si>
  <si>
    <t>Techo zona 1 (0 a h/2)</t>
  </si>
  <si>
    <t>Techo zona 2 (h/2 a h)</t>
  </si>
  <si>
    <t>Techo zona 3 (h a 2h)</t>
  </si>
  <si>
    <t>Techo zona 4 (&gt; 2h)</t>
  </si>
  <si>
    <t>CASO B: VIENTO ⊥ CUMBRERA (sobre B = 50 m) + Presión Interna NEGATIVA (−0,18)</t>
  </si>
  <si>
    <t>CONVENCIÓN DE SIGNOS: Valores POSITIVOS = presión hacia la superficie (empuje hacia adentro). Valores NEGATIVOS = succión (alejándose de la superficie). Para SAP2000, aplicar las presiones como cargas distribuidas perpendiculares a cada superficie con el signo indicado.</t>
  </si>
  <si>
    <t>CASO A: VIENTO ⊥ CARA LARGA (sobre L = 85 m) + Presión Interna POSITIVA (+0,18)</t>
  </si>
  <si>
    <t>PARÁMETROS</t>
  </si>
  <si>
    <t>qz (altura z)</t>
  </si>
  <si>
    <t>qh (altura h media)</t>
  </si>
  <si>
    <t>qi (interna, = qh)</t>
  </si>
  <si>
    <t>Kd</t>
  </si>
  <si>
    <t>CASO B: VIENTO ⊥ CARA LARGA (sobre L = 85 m) + Presión Interna NEGATIVA (−0,18)</t>
  </si>
  <si>
    <t>PLANILLA DE CARGAS DE VIENTO - SPRFV - NCh432:2025</t>
  </si>
  <si>
    <t>1. PARÁMETROS GEOMÉTRICOS DEL GALPÓN</t>
  </si>
  <si>
    <t>Referencia / Notas</t>
  </si>
  <si>
    <t>h_c</t>
  </si>
  <si>
    <t>Pendiente cubierta</t>
  </si>
  <si>
    <t>Relación h/L (viento ∥ cumbrera)</t>
  </si>
  <si>
    <t>Relación h/B (viento ⊥ cumbrera)</t>
  </si>
  <si>
    <t>2. PARÁMETROS DE VIENTO (NCh432:2025)</t>
  </si>
  <si>
    <t>Velocidad básica del viento</t>
  </si>
  <si>
    <t>Tabla 1 - Zona III-A (29°54'S - 37°28'S, &lt; 1000 msnm)</t>
  </si>
  <si>
    <t>Categoría de ocupación</t>
  </si>
  <si>
    <t>Cat</t>
  </si>
  <si>
    <t>II</t>
  </si>
  <si>
    <t>NCh3171 - Edificio común</t>
  </si>
  <si>
    <t>Factor de importancia</t>
  </si>
  <si>
    <t>I</t>
  </si>
  <si>
    <t>Tabla 2 - Categoría II → T = 50 años</t>
  </si>
  <si>
    <t>Tabla 3 - Edificios SPRFV</t>
  </si>
  <si>
    <t>Kzt</t>
  </si>
  <si>
    <t>§5.6 - Sitio plano</t>
  </si>
  <si>
    <t>Ke</t>
  </si>
  <si>
    <t>§5.7 - Conservador (z_e &lt; 300 msnm)</t>
  </si>
  <si>
    <t>Factor efecto de ráfaga</t>
  </si>
  <si>
    <t>§5.9 - Estructura rígida (f ≥ 1 Hz)</t>
  </si>
  <si>
    <t>Categoría de exposición</t>
  </si>
  <si>
    <t>§5.5 - B=Urbano, C=Campo abierto, D=Costa</t>
  </si>
  <si>
    <t>Cerramiento</t>
  </si>
  <si>
    <t>Cerrado</t>
  </si>
  <si>
    <t>§5.10 - Tabla 7: GCpi = ±0,18</t>
  </si>
  <si>
    <t>3. CONSTANTES DE EXPOSICIÓN (Tabla 6 NCh432:2025)</t>
  </si>
  <si>
    <t>Exposición</t>
  </si>
  <si>
    <t>α</t>
  </si>
  <si>
    <t>z_g (m)</t>
  </si>
  <si>
    <t>z_min (m)</t>
  </si>
  <si>
    <t>Urbano / suburbano / bosques</t>
  </si>
  <si>
    <t>C</t>
  </si>
  <si>
    <t>Campo abierto, terrenos con obstrucciones dispersas</t>
  </si>
  <si>
    <t>D</t>
  </si>
  <si>
    <t>Costa, planos sin obstáculos, frente a masas de agua</t>
  </si>
  <si>
    <t>α (seleccionado)</t>
  </si>
  <si>
    <t>Tabla 6 - Selección automática</t>
  </si>
  <si>
    <t>z_g (seleccionado)</t>
  </si>
  <si>
    <t>z_g</t>
  </si>
  <si>
    <t>Altura gradiente</t>
  </si>
  <si>
    <t>z_min (seleccionado)</t>
  </si>
  <si>
    <t>z_min</t>
  </si>
  <si>
    <t>Altura mínima</t>
  </si>
  <si>
    <t>4. PRESIÓN DE VELOCIDAD qh A LA ALTURA MEDIA DEL TECHO (§5.8)</t>
  </si>
  <si>
    <t>Coef. exposición a la altura h</t>
  </si>
  <si>
    <t>Kh</t>
  </si>
  <si>
    <t>Kh = 2,41·(max(h,z_min)/z_g)^(2/α)</t>
  </si>
  <si>
    <t>Presión de velocidad a altura h</t>
  </si>
  <si>
    <t>qh = 0,613·I·Kh·Kzt·Ke·V² (Ec. 5.8.2)</t>
  </si>
  <si>
    <t>Conversión: 1 kgf = 9,80665 N</t>
  </si>
  <si>
    <t>NOTA: La presión de velocidad qz para muros de barlovento se calcula en la Hoja 2, ya que varía con la altura z. El resto de superficies (sotavento, laterales, techo) usa qh constante.</t>
  </si>
  <si>
    <t>Dimensión paralela a la cumbrera  → modificar aquí</t>
  </si>
  <si>
    <t>Dimensión perpendicular a la cumbrera  → modificar aquí</t>
  </si>
  <si>
    <t>Altura al alero (desde nivel terreno)  → modificar aquí</t>
  </si>
  <si>
    <t>Altura a la cumbrera (desde nivel terreno)  → modificar aquí</t>
  </si>
  <si>
    <t>§5.8 - h = (h_e + h_c)/2  → calculado</t>
  </si>
  <si>
    <t>θ = atan((h_c − h_e) / (B/2))  → calculado</t>
  </si>
  <si>
    <t>Para definir zonas Cp del techo  → calculado</t>
  </si>
  <si>
    <t>Para definir Cp en muros laterales  → calculado</t>
  </si>
  <si>
    <t>No Aplica</t>
  </si>
  <si>
    <t>PRESIONES DE VIENTO vs ALTURA - NCh432:2025</t>
  </si>
  <si>
    <t>qz varía con la altura z; resto de superficies usa qh constante a la altura media del techo</t>
  </si>
  <si>
    <t>h alero (h_e)</t>
  </si>
  <si>
    <t>Cp barlovento muro</t>
  </si>
  <si>
    <t>Cp muro lateral</t>
  </si>
  <si>
    <t>z (m)</t>
  </si>
  <si>
    <t>Kz</t>
  </si>
  <si>
    <t>qz (kgf/m²)</t>
  </si>
  <si>
    <t>PARÁMETROS (vinculados desde Presión de Viento)</t>
  </si>
  <si>
    <t>h cumbrera (h_c)</t>
  </si>
  <si>
    <t>m  ← última fila de la tabla</t>
  </si>
  <si>
    <t>m  ← fila naranja en tabla</t>
  </si>
  <si>
    <t>V (velocidad básica)</t>
  </si>
  <si>
    <t>I / Kd / Kzt / Ke / G</t>
  </si>
  <si>
    <t>α / z_g / z_min (Exp. selec.)</t>
  </si>
  <si>
    <t>qh a altura media</t>
  </si>
  <si>
    <t>kgf/m² (constante, para sotavento/laterales/techo)</t>
  </si>
  <si>
    <t>⚠️ NOTA: Los valores de la tabla se calcularon con los parámetros actuales. Si cambias V, Exposición u otros parámetros en la hoja “Presión de Viento”, regenera esta tabla.</t>
  </si>
  <si>
    <t>0.0 m</t>
  </si>
  <si>
    <t>0.1 m</t>
  </si>
  <si>
    <t>0.2 m</t>
  </si>
  <si>
    <t>0.3 m</t>
  </si>
  <si>
    <t>0.4 m</t>
  </si>
  <si>
    <t>0.5 m</t>
  </si>
  <si>
    <t>0.6 m</t>
  </si>
  <si>
    <t>0.7 m</t>
  </si>
  <si>
    <t>0.8 m</t>
  </si>
  <si>
    <t>0.9 m</t>
  </si>
  <si>
    <t>1.0 m</t>
  </si>
  <si>
    <t>1.1 m</t>
  </si>
  <si>
    <t>1.2 m</t>
  </si>
  <si>
    <t>1.3 m</t>
  </si>
  <si>
    <t>1.4 m</t>
  </si>
  <si>
    <t>1.5 m</t>
  </si>
  <si>
    <t>1.6 m</t>
  </si>
  <si>
    <t>1.7 m</t>
  </si>
  <si>
    <t>1.8 m</t>
  </si>
  <si>
    <t>1.9 m</t>
  </si>
  <si>
    <t>2.0 m</t>
  </si>
  <si>
    <t>2.1 m</t>
  </si>
  <si>
    <t>2.2 m</t>
  </si>
  <si>
    <t>2.3 m</t>
  </si>
  <si>
    <t>2.4 m</t>
  </si>
  <si>
    <t>2.5 m</t>
  </si>
  <si>
    <t>2.6 m</t>
  </si>
  <si>
    <t>2.7 m</t>
  </si>
  <si>
    <t>2.8 m</t>
  </si>
  <si>
    <t>2.9 m</t>
  </si>
  <si>
    <t>3.0 m</t>
  </si>
  <si>
    <t>3.1 m</t>
  </si>
  <si>
    <t>3.2 m</t>
  </si>
  <si>
    <t>3.3 m</t>
  </si>
  <si>
    <t>3.4 m</t>
  </si>
  <si>
    <t>3.5 m</t>
  </si>
  <si>
    <t>3.6 m</t>
  </si>
  <si>
    <t>3.7 m</t>
  </si>
  <si>
    <t>3.8 m</t>
  </si>
  <si>
    <t>3.9 m</t>
  </si>
  <si>
    <t>4.0 m</t>
  </si>
  <si>
    <t>4.1 m</t>
  </si>
  <si>
    <t>4.2 m</t>
  </si>
  <si>
    <t>4.3 m</t>
  </si>
  <si>
    <t>4.4 m</t>
  </si>
  <si>
    <t>4.5 m</t>
  </si>
  <si>
    <t>4.6 m</t>
  </si>
  <si>
    <t>4.7 m</t>
  </si>
  <si>
    <t>4.8 m</t>
  </si>
  <si>
    <t>4.9 m</t>
  </si>
  <si>
    <t>5.0 m</t>
  </si>
  <si>
    <t>5.1 m</t>
  </si>
  <si>
    <t>5.2 m</t>
  </si>
  <si>
    <t>5.3 m</t>
  </si>
  <si>
    <t>5.4 m</t>
  </si>
  <si>
    <t>5.5 m</t>
  </si>
  <si>
    <t>5.6 m</t>
  </si>
  <si>
    <t>5.7 m</t>
  </si>
  <si>
    <t>5.8 m</t>
  </si>
  <si>
    <t>5.9 m</t>
  </si>
  <si>
    <t>6.0 m</t>
  </si>
  <si>
    <t>6.1 m</t>
  </si>
  <si>
    <t>6.2 m</t>
  </si>
  <si>
    <t>6.3 m</t>
  </si>
  <si>
    <t>6.4 m</t>
  </si>
  <si>
    <t>6.5 m</t>
  </si>
  <si>
    <t>6.6 m</t>
  </si>
  <si>
    <t>6.7 m</t>
  </si>
  <si>
    <t>6.8 m</t>
  </si>
  <si>
    <t>6.9 m</t>
  </si>
  <si>
    <t>7.0 m</t>
  </si>
  <si>
    <t>7.1 m</t>
  </si>
  <si>
    <t>7.2 m</t>
  </si>
  <si>
    <t>7.3 m</t>
  </si>
  <si>
    <t>7.4 m</t>
  </si>
  <si>
    <t>7.5 m</t>
  </si>
  <si>
    <t>7.6 m</t>
  </si>
  <si>
    <t>7.7 m</t>
  </si>
  <si>
    <t>7.8 m</t>
  </si>
  <si>
    <t>7.9 m</t>
  </si>
  <si>
    <t>8.0 m</t>
  </si>
  <si>
    <t>8.1 m</t>
  </si>
  <si>
    <t>8.2 m</t>
  </si>
  <si>
    <t>8.3 m</t>
  </si>
  <si>
    <t>8.4 m</t>
  </si>
  <si>
    <t>8.5 m</t>
  </si>
  <si>
    <t>8.6 m</t>
  </si>
  <si>
    <t>8.7 m</t>
  </si>
  <si>
    <t>8.8 m</t>
  </si>
  <si>
    <t>8.9 m</t>
  </si>
  <si>
    <t>9.0 m</t>
  </si>
  <si>
    <t>9.1 m</t>
  </si>
  <si>
    <t>9.2 m</t>
  </si>
  <si>
    <t>9.3 m</t>
  </si>
  <si>
    <t>9.4 m</t>
  </si>
  <si>
    <t>9.5 m</t>
  </si>
  <si>
    <t>9.6 m</t>
  </si>
  <si>
    <t>9.7 m</t>
  </si>
  <si>
    <t>9.8 m</t>
  </si>
  <si>
    <t>9.9 m</t>
  </si>
  <si>
    <t>10.0 m</t>
  </si>
  <si>
    <t>10.1 m</t>
  </si>
  <si>
    <t>10.2 m</t>
  </si>
  <si>
    <t>10.3 m</t>
  </si>
  <si>
    <t>10.4 m</t>
  </si>
  <si>
    <t>10.5 m</t>
  </si>
  <si>
    <t>10.6 m</t>
  </si>
  <si>
    <t>10.7 m</t>
  </si>
  <si>
    <t>10.8 m</t>
  </si>
  <si>
    <t>10.9 m</t>
  </si>
  <si>
    <t>11.0 m</t>
  </si>
  <si>
    <t>11.1 m</t>
  </si>
  <si>
    <t>11.2 m</t>
  </si>
  <si>
    <t>11.3 m</t>
  </si>
  <si>
    <t>11.4 m</t>
  </si>
  <si>
    <t>11.5 m</t>
  </si>
  <si>
    <t>11.6 m</t>
  </si>
  <si>
    <t>11.7 m</t>
  </si>
  <si>
    <t>11.8 m</t>
  </si>
  <si>
    <t>11.9 m</t>
  </si>
  <si>
    <t>12.0 m</t>
  </si>
  <si>
    <t>12.1 m</t>
  </si>
  <si>
    <t>12.2 m</t>
  </si>
  <si>
    <t>12.3 m</t>
  </si>
  <si>
    <t>12.4 m</t>
  </si>
  <si>
    <t>12.5 m</t>
  </si>
  <si>
    <t>12.6 m</t>
  </si>
  <si>
    <t>12.7 m</t>
  </si>
  <si>
    <t>12.8 m</t>
  </si>
  <si>
    <t>12.9 m</t>
  </si>
  <si>
    <t>13.0 m</t>
  </si>
  <si>
    <t>13.1 m</t>
  </si>
  <si>
    <t>13.2 m</t>
  </si>
  <si>
    <t>13.3 m</t>
  </si>
  <si>
    <t>13.4 m</t>
  </si>
  <si>
    <t>13.5 m</t>
  </si>
  <si>
    <t>13.6 m</t>
  </si>
  <si>
    <t>13.7 m</t>
  </si>
  <si>
    <t>13.8 m</t>
  </si>
  <si>
    <t>13.9 m</t>
  </si>
  <si>
    <t>14.0 m</t>
  </si>
  <si>
    <t>14.1 m</t>
  </si>
  <si>
    <t>14.2 m</t>
  </si>
  <si>
    <t>14.3 m</t>
  </si>
  <si>
    <t>14.4 m</t>
  </si>
  <si>
    <t>14.5 m</t>
  </si>
  <si>
    <t>14.6 m</t>
  </si>
  <si>
    <t>14.7 m</t>
  </si>
  <si>
    <t>14.8 m</t>
  </si>
  <si>
    <t>14.9 m</t>
  </si>
  <si>
    <t>15.0 m</t>
  </si>
  <si>
    <t>15.1 m</t>
  </si>
  <si>
    <t>15.2 m</t>
  </si>
  <si>
    <t>15.3 m</t>
  </si>
  <si>
    <t>15.4 m</t>
  </si>
  <si>
    <t>15.5 m</t>
  </si>
  <si>
    <t>15.6 m</t>
  </si>
  <si>
    <t>15.7 m</t>
  </si>
  <si>
    <t>15.8 m</t>
  </si>
  <si>
    <t>15.9 m</t>
  </si>
  <si>
    <t>16.0 m</t>
  </si>
  <si>
    <t>16.1 m</t>
  </si>
  <si>
    <t>16.2 m</t>
  </si>
  <si>
    <t>16.3 m</t>
  </si>
  <si>
    <t>16.4 m</t>
  </si>
  <si>
    <t>16.5 m</t>
  </si>
  <si>
    <t>16.6 m</t>
  </si>
  <si>
    <t>16.7 m</t>
  </si>
  <si>
    <t>16.8 m</t>
  </si>
  <si>
    <t>16.9 m</t>
  </si>
  <si>
    <t>17.0 m</t>
  </si>
  <si>
    <t>17.1 m</t>
  </si>
  <si>
    <t>17.2 m</t>
  </si>
  <si>
    <t>17.3 m</t>
  </si>
  <si>
    <t>17.4 m</t>
  </si>
  <si>
    <t>17.5 m</t>
  </si>
  <si>
    <t>17.6 m</t>
  </si>
  <si>
    <t>17.7 m</t>
  </si>
  <si>
    <t>17.8 m</t>
  </si>
  <si>
    <t>17.9 m</t>
  </si>
  <si>
    <t>18.0 m</t>
  </si>
  <si>
    <t>18.1 m</t>
  </si>
  <si>
    <t>18.2 m</t>
  </si>
  <si>
    <t>18.3 m</t>
  </si>
  <si>
    <t>18.4 m</t>
  </si>
  <si>
    <t>18.5 m</t>
  </si>
  <si>
    <t>18.6 m</t>
  </si>
  <si>
    <t>18.7 m</t>
  </si>
  <si>
    <t>18.8 m</t>
  </si>
  <si>
    <t>18.9 m</t>
  </si>
  <si>
    <t>19.0 m</t>
  </si>
  <si>
    <t>19.1 m</t>
  </si>
  <si>
    <t>19.2 m</t>
  </si>
  <si>
    <t>19.3 m</t>
  </si>
  <si>
    <t>19.4 m</t>
  </si>
  <si>
    <t>19.5 m</t>
  </si>
  <si>
    <t>19.6 m</t>
  </si>
  <si>
    <t>19.7 m</t>
  </si>
  <si>
    <t>19.8 m</t>
  </si>
  <si>
    <t>19.9 m</t>
  </si>
  <si>
    <t>N° de aguas (techo)</t>
  </si>
  <si>
    <t>N°ag</t>
  </si>
  <si>
    <t>1 = 1 agua (un faldeo) | 2 = 2 aguas (dos faldeos)  → selector activo aquí</t>
  </si>
  <si>
    <t>FUERZAS TOTALES DE VIENTO - SPRFV - NCh432:2025</t>
  </si>
  <si>
    <t>F = p · A   [kgf]    Convención: (+) hacia adentro / compresión, (−) succión / hacia afuera</t>
  </si>
  <si>
    <t>GEOMETRÍA (desde Presión de Viento)</t>
  </si>
  <si>
    <t>Largo del galpón (paralelo cumbrera)</t>
  </si>
  <si>
    <t>ÁREAS TRIBUTARIAS</t>
  </si>
  <si>
    <t>Dimensión</t>
  </si>
  <si>
    <t>Fórmula</t>
  </si>
  <si>
    <t>Área (m²)</t>
  </si>
  <si>
    <t>VIENTO ⊥ CARA CORTA (dir. X)</t>
  </si>
  <si>
    <t>Muro barlovento / sotavento</t>
  </si>
  <si>
    <t>h × L</t>
  </si>
  <si>
    <t>h × B</t>
  </si>
  <si>
    <t>VIENTO ⊥ CARA LARGA (dir. Y)</t>
  </si>
  <si>
    <t>FUERZAS TOTALES F = p × A</t>
  </si>
  <si>
    <t>Eje
global</t>
  </si>
  <si>
    <t>Área
(m²)</t>
  </si>
  <si>
    <t>CASO A (+GCpi)
p NETA (kgf/m²)</t>
  </si>
  <si>
    <t>CASO A
F (kgf)</t>
  </si>
  <si>
    <t>CASO A
F (ton)</t>
  </si>
  <si>
    <t>CASO B (−GCpi)
p NETA (kgf/m²)</t>
  </si>
  <si>
    <t>CASO B
F (kgf)</t>
  </si>
  <si>
    <t>CASO B
F (ton)</t>
  </si>
  <si>
    <t>X (+)</t>
  </si>
  <si>
    <t>Muro sotavento</t>
  </si>
  <si>
    <t>Y (±)</t>
  </si>
  <si>
    <t>Z (−)</t>
  </si>
  <si>
    <t>∑ RESULTANTE CARA CORTA (eje X)</t>
  </si>
  <si>
    <t>X</t>
  </si>
  <si>
    <t>∑ TECHO CARA CORTA (eje Z)</t>
  </si>
  <si>
    <t>Z</t>
  </si>
  <si>
    <t>Y (+)</t>
  </si>
  <si>
    <t>X (±)</t>
  </si>
  <si>
    <t>∑ RESULTANTE CARA LARGA (eje Y)</t>
  </si>
  <si>
    <t>Y</t>
  </si>
  <si>
    <t>∑ TECHO CARA LARGA (eje Z)</t>
  </si>
  <si>
    <t>CONVENCIÓN DE EJES GLOBALES</t>
  </si>
  <si>
    <t>X (+) = dirección viento ⊥ cara corta (B=50m) → barlovento hacia adentro, sotavento hacia afuera</t>
  </si>
  <si>
    <t>Y (+) = dirección viento ⊥ cara larga (L=85m) → barlovento hacia adentro, sotavento hacia afuera</t>
  </si>
  <si>
    <t>Z (−) = vertical ascendente → techo succionado hacia arriba (valores negativos = uplift)</t>
  </si>
  <si>
    <t>Laterales (±) = simétricos, actuüan sobre ambas caras laterales simultáneamente</t>
  </si>
  <si>
    <t>Resultante horizontal neta = F_barlovento + F_sotavento (ambos contribuyen al corte basal en la dirección del viento)</t>
  </si>
  <si>
    <t>L × (h/2) / cosθ</t>
  </si>
  <si>
    <t>L × h / cosθ</t>
  </si>
  <si>
    <t>L × MAX(B−2h,0) / cosθ</t>
  </si>
  <si>
    <t>B × (h/2) / cosθ</t>
  </si>
  <si>
    <t>B × h / cosθ</t>
  </si>
  <si>
    <t>B × MAX(L−2h,0) / cosθ</t>
  </si>
  <si>
    <t>Wx+</t>
  </si>
  <si>
    <t>LinStatic</t>
  </si>
  <si>
    <t>Wx-</t>
  </si>
  <si>
    <t>Wy+</t>
  </si>
  <si>
    <t>Wy-</t>
  </si>
  <si>
    <t>TABLE:  Base Reactions</t>
  </si>
  <si>
    <t>OutputCase</t>
  </si>
  <si>
    <t>CaseType</t>
  </si>
  <si>
    <t>GlobalFX</t>
  </si>
  <si>
    <t>GlobalFY</t>
  </si>
  <si>
    <t>GlobalFZ</t>
  </si>
  <si>
    <t>GlobalMX</t>
  </si>
  <si>
    <t>GlobalMY</t>
  </si>
  <si>
    <t>GlobalMZ</t>
  </si>
  <si>
    <t>Text</t>
  </si>
  <si>
    <t>Tonf</t>
  </si>
  <si>
    <t>Tonf-m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</si>
</sst>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9">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i/>
      <sz val="11"/>
      <color rgb="FF1F1F1F"/>
      <name val="Arial"/>
      <family val="2"/>
    </font>
    <font>
      <sz val="10"/>
      <color rgb="FF444746"/>
      <name val="Google Sans Text"/>
      <family val="2"/>
    </font>
    <font>
      <b/>
      <sz val="11"/>
      <color rgb="FF595959"/>
      <name val="Arial"/>
      <family val="2"/>
    </font>
    <font>
      <sz val="11"/>
      <color rgb="FF595959"/>
      <name val="Aptos Narrow"/>
      <family val="2"/>
      <scheme val="minor"/>
    </font>
    <font>
      <b/>
      <sz val="9"/>
      <color indexed="81"/>
      <name val="Tahoma"/>
      <family val="2"/>
    </font>
    <font>
      <b/>
      <sz val="11"/>
      <color rgb="FFFF0000"/>
      <name val="Aptos Narrow"/>
      <family val="2"/>
      <scheme val="minor"/>
    </font>
    <font>
      <b/>
      <sz val="11"/>
      <color rgb="FF0000FF"/>
      <name val="Aptos Narrow"/>
      <family val="2"/>
      <scheme val="minor"/>
    </font>
    <font>
      <i/>
      <sz val="11"/>
      <color rgb="FF595959"/>
      <name val="Aptos Narrow"/>
      <family val="2"/>
      <scheme val="minor"/>
    </font>
    <font>
      <b/>
      <sz val="11"/>
      <color rgb="FFFFFFFF"/>
      <name val="Aptos Narrow"/>
      <family val="2"/>
      <scheme val="minor"/>
    </font>
    <font>
      <b/>
      <sz val="11"/>
      <color rgb="FFC00000"/>
      <name val="Aptos Narrow"/>
      <family val="2"/>
      <scheme val="minor"/>
    </font>
    <font>
      <b/>
      <i/>
      <sz val="11"/>
      <color rgb="FFFF0000"/>
      <name val="Aptos Narrow"/>
      <family val="2"/>
      <scheme val="minor"/>
    </font>
    <font>
      <b/>
      <sz val="11"/>
      <color rgb="FF1F1F1F"/>
      <name val="Arial"/>
      <family val="2"/>
    </font>
    <font>
      <i/>
      <sz val="11"/>
      <color rgb="FF1F1F1F"/>
      <name val="Arial"/>
      <family val="2"/>
    </font>
    <font>
      <sz val="11"/>
      <color rgb="FF444746"/>
      <name val="Aptos Narrow"/>
      <family val="2"/>
      <scheme val="minor"/>
    </font>
    <font>
      <sz val="11"/>
      <color rgb="FF444746"/>
      <name val="Arial"/>
      <family val="2"/>
    </font>
    <font>
      <sz val="11"/>
      <color theme="1"/>
      <name val="Arial"/>
      <family val="2"/>
    </font>
    <font>
      <sz val="11"/>
      <color theme="1"/>
      <name val="Google Sans Text"/>
      <family val="2"/>
    </font>
    <font>
      <sz val="11"/>
      <color rgb="FF000000"/>
      <name val="Arial"/>
      <family val="2"/>
    </font>
    <font>
      <sz val="11"/>
      <color theme="0"/>
      <name val="Arial"/>
      <family val="2"/>
    </font>
    <font>
      <sz val="11"/>
      <color rgb="FF444746"/>
      <name val="Arial"/>
      <family val="2"/>
    </font>
    <font>
      <i/>
      <sz val="11"/>
      <color rgb="FF595959"/>
      <name val="Arial"/>
      <family val="2"/>
    </font>
    <font>
      <sz val="11"/>
      <color rgb="FF000000"/>
      <name val="Aptos Narrow"/>
      <family val="2"/>
      <scheme val="minor"/>
    </font>
    <font>
      <b/>
      <sz val="11"/>
      <color rgb="FF000000"/>
      <name val="Aptos Narrow"/>
      <family val="2"/>
      <scheme val="minor"/>
    </font>
    <font>
      <b/>
      <sz val="12"/>
      <color rgb="FFFF0000"/>
      <name val="Aptos Narrow"/>
      <family val="2"/>
      <scheme val="minor"/>
    </font>
    <font>
      <b/>
      <i/>
      <sz val="11"/>
      <color rgb="FFFFFFFF"/>
      <name val="Aptos Narrow"/>
      <family val="2"/>
      <scheme val="minor"/>
    </font>
    <font>
      <b/>
      <sz val="14"/>
      <color rgb="FFFFFFFF"/>
      <name val="Aptos Narrow"/>
      <family val="2"/>
      <scheme val="minor"/>
    </font>
    <font>
      <sz val="11"/>
      <color rgb="FFAAAAAA"/>
      <name val="Aptos Narrow"/>
      <family val="2"/>
      <scheme val="minor"/>
    </font>
    <font>
      <b/>
      <sz val="11"/>
      <color rgb="FF595959"/>
      <name val="Aptos Narrow"/>
      <family val="2"/>
      <scheme val="minor"/>
    </font>
    <font>
      <b/>
      <sz val="13"/>
      <color rgb="FFFFFFFF"/>
      <name val="Aptos Narrow"/>
      <family val="2"/>
      <scheme val="minor"/>
    </font>
    <font>
      <i/>
      <sz val="11"/>
      <color rgb="FFFFFFFF"/>
      <name val="Aptos Narrow"/>
      <family val="2"/>
      <scheme val="minor"/>
    </font>
    <font>
      <sz val="10"/>
      <color rgb="FF595959"/>
      <name val="Aptos Narrow"/>
      <family val="2"/>
      <scheme val="minor"/>
    </font>
    <font>
      <i/>
      <sz val="10"/>
      <color rgb="FF595959"/>
      <name val="Aptos Narrow"/>
      <family val="2"/>
      <scheme val="minor"/>
    </font>
    <font>
      <b/>
      <sz val="10"/>
      <color rgb="FFFFFFFF"/>
      <name val="Aptos Narrow"/>
      <family val="2"/>
      <scheme val="minor"/>
    </font>
    <font>
      <b/>
      <sz val="11"/>
      <color rgb="FF008000"/>
      <name val="Aptos Narrow"/>
      <family val="2"/>
      <scheme val="minor"/>
    </font>
    <font>
      <b/>
      <i/>
      <sz val="10"/>
      <color rgb="FFFFFFFF"/>
      <name val="Aptos Narrow"/>
      <family val="2"/>
      <scheme val="minor"/>
    </font>
    <font>
      <b/>
      <i/>
      <sz val="10"/>
      <color rgb="FF0000FF"/>
      <name val="Aptos Narrow"/>
      <family val="2"/>
      <scheme val="minor"/>
    </font>
    <font>
      <b/>
      <sz val="10"/>
      <color rgb="FF008000"/>
      <name val="Aptos Narrow"/>
      <family val="2"/>
      <scheme val="minor"/>
    </font>
    <font>
      <i/>
      <sz val="11"/>
      <color theme="1"/>
      <name val="Aptos Narrow"/>
      <family val="2"/>
      <scheme val="minor"/>
    </font>
    <font>
      <sz val="10"/>
      <color rgb="FF0000FF"/>
      <name val="Aptos Narrow"/>
      <family val="2"/>
      <scheme val="minor"/>
    </font>
    <font>
      <b/>
      <i/>
      <sz val="10"/>
      <color rgb="FF008000"/>
      <name val="Aptos Narrow"/>
      <family val="2"/>
      <scheme val="minor"/>
    </font>
    <font>
      <sz val="10"/>
      <color theme="1"/>
      <name val="Aptos Narrow"/>
      <family val="2"/>
      <scheme val="minor"/>
    </font>
    <font>
      <sz val="9"/>
      <color rgb="FFAAAAAA"/>
      <name val="Aptos Narrow"/>
      <family val="2"/>
      <scheme val="minor"/>
    </font>
    <font>
      <i/>
      <sz val="10"/>
      <color rgb="FF1A3050"/>
      <name val="Aptos Narrow"/>
      <family val="2"/>
      <scheme val="minor"/>
    </font>
    <font>
      <i/>
      <sz val="10"/>
      <color rgb="FFE8763A"/>
      <name val="Aptos Narrow"/>
      <family val="2"/>
      <scheme val="minor"/>
    </font>
    <font>
      <i/>
      <sz val="9"/>
      <color rgb="FF856404"/>
      <name val="Aptos Narrow"/>
      <family val="2"/>
      <scheme val="minor"/>
    </font>
    <font>
      <sz val="9"/>
      <color rgb="FF888888"/>
      <name val="Aptos Narrow"/>
      <family val="2"/>
      <scheme val="minor"/>
    </font>
    <font>
      <sz val="9"/>
      <color rgb="FF555555"/>
      <name val="Aptos Narrow"/>
      <family val="2"/>
      <scheme val="minor"/>
    </font>
    <font>
      <sz val="9"/>
      <color rgb="FFBBBBBB"/>
      <name val="Aptos Narrow"/>
      <family val="2"/>
      <scheme val="minor"/>
    </font>
    <font>
      <b/>
      <sz val="9"/>
      <color rgb="FFAAAAAA"/>
      <name val="Aptos Narrow"/>
      <family val="2"/>
      <scheme val="minor"/>
    </font>
    <font>
      <i/>
      <sz val="11"/>
      <color rgb="FF000000"/>
      <name val="Aptos Narrow"/>
      <family val="2"/>
      <scheme val="minor"/>
    </font>
    <font>
      <sz val="9"/>
      <color rgb="FF595959"/>
      <name val="Aptos Narrow"/>
      <family val="2"/>
      <scheme val="minor"/>
    </font>
    <font>
      <b/>
      <sz val="12"/>
      <color rgb="FFFFFFFF"/>
      <name val="Aptos Narrow"/>
      <family val="2"/>
      <scheme val="minor"/>
    </font>
    <font>
      <b/>
      <sz val="11"/>
      <color rgb="FF0070C0"/>
      <name val="Aptos Narrow"/>
      <family val="2"/>
      <scheme val="minor"/>
    </font>
    <font>
      <b/>
      <sz val="11"/>
      <color rgb="FF375623"/>
      <name val="Aptos Narrow"/>
      <family val="2"/>
      <scheme val="minor"/>
    </font>
    <font>
      <i/>
      <sz val="9"/>
      <color rgb="FF595959"/>
      <name val="Aptos Narrow"/>
      <family val="2"/>
      <scheme val="minor"/>
    </font>
  </fonts>
  <fills count="33">
    <fill>
      <patternFill patternType="none"/>
    </fill>
    <fill>
      <patternFill patternType="gray125"/>
    </fill>
    <fill>
      <patternFill patternType="solid">
        <fgColor theme="3" tint="0.89999084444715716"/>
        <bgColor indexed="64"/>
      </patternFill>
    </fill>
    <fill>
      <patternFill patternType="solid">
        <fgColor rgb="FFFFFFFF"/>
        <bgColor indexed="64"/>
      </patternFill>
    </fill>
    <fill>
      <patternFill patternType="solid">
        <fgColor rgb="FFFFF2CC"/>
        <bgColor indexed="64"/>
      </patternFill>
    </fill>
    <fill>
      <patternFill patternType="solid">
        <fgColor theme="1"/>
        <bgColor indexed="64"/>
      </patternFill>
    </fill>
    <fill>
      <patternFill patternType="solid">
        <fgColor rgb="FFDAE9F8"/>
        <bgColor indexed="64"/>
      </patternFill>
    </fill>
    <fill>
      <patternFill patternType="solid">
        <fgColor rgb="FFD9E1F2"/>
        <bgColor indexed="64"/>
      </patternFill>
    </fill>
    <fill>
      <patternFill patternType="solid">
        <fgColor rgb="FFE2EFDA"/>
        <bgColor indexed="64"/>
      </patternFill>
    </fill>
    <fill>
      <patternFill patternType="solid">
        <fgColor rgb="FFF2F2F2"/>
        <bgColor indexed="64"/>
      </patternFill>
    </fill>
    <fill>
      <patternFill patternType="solid">
        <fgColor rgb="FF2E4057"/>
        <bgColor indexed="64"/>
      </patternFill>
    </fill>
    <fill>
      <patternFill patternType="solid">
        <fgColor rgb="FFD9E8F5"/>
        <bgColor indexed="64"/>
      </patternFill>
    </fill>
    <fill>
      <patternFill patternType="solid">
        <fgColor rgb="FF1A2E44"/>
        <bgColor indexed="64"/>
      </patternFill>
    </fill>
    <fill>
      <patternFill patternType="solid">
        <fgColor rgb="FF2E75B6"/>
        <bgColor indexed="64"/>
      </patternFill>
    </fill>
    <fill>
      <patternFill patternType="solid">
        <fgColor rgb="FF70AD47"/>
        <bgColor indexed="64"/>
      </patternFill>
    </fill>
    <fill>
      <patternFill patternType="solid">
        <fgColor rgb="FF1A3050"/>
        <bgColor indexed="64"/>
      </patternFill>
    </fill>
    <fill>
      <patternFill patternType="solid">
        <fgColor rgb="FFE8763A"/>
        <bgColor indexed="64"/>
      </patternFill>
    </fill>
    <fill>
      <patternFill patternType="solid">
        <fgColor rgb="FFF5C9A8"/>
        <bgColor indexed="64"/>
      </patternFill>
    </fill>
    <fill>
      <patternFill patternType="solid">
        <fgColor rgb="FF1A4731"/>
        <bgColor indexed="64"/>
      </patternFill>
    </fill>
    <fill>
      <patternFill patternType="solid">
        <fgColor rgb="FFD9EAD3"/>
        <bgColor indexed="64"/>
      </patternFill>
    </fill>
    <fill>
      <patternFill patternType="solid">
        <fgColor rgb="FFF4CCCC"/>
        <bgColor indexed="64"/>
      </patternFill>
    </fill>
    <fill>
      <patternFill patternType="solid">
        <fgColor rgb="FFFFF3CD"/>
        <bgColor indexed="64"/>
      </patternFill>
    </fill>
    <fill>
      <patternFill patternType="solid">
        <fgColor rgb="FFEEEEEE"/>
        <bgColor indexed="64"/>
      </patternFill>
    </fill>
    <fill>
      <patternFill patternType="solid">
        <fgColor theme="9" tint="0.79998168889431442"/>
        <bgColor indexed="64"/>
      </patternFill>
    </fill>
    <fill>
      <patternFill patternType="solid">
        <fgColor rgb="FF4472C4"/>
        <bgColor indexed="64"/>
      </patternFill>
    </fill>
    <fill>
      <patternFill patternType="solid">
        <fgColor rgb="FFE6813A"/>
        <bgColor indexed="64"/>
      </patternFill>
    </fill>
    <fill>
      <patternFill patternType="solid">
        <fgColor rgb="FFFDE9D9"/>
        <bgColor indexed="64"/>
      </patternFill>
    </fill>
    <fill>
      <patternFill patternType="solid">
        <fgColor rgb="FFDAEEF3"/>
        <bgColor indexed="64"/>
      </patternFill>
    </fill>
    <fill>
      <patternFill patternType="solid">
        <fgColor rgb="FFC00000"/>
        <bgColor indexed="64"/>
      </patternFill>
    </fill>
    <fill>
      <patternFill patternType="solid">
        <fgColor rgb="FF375623"/>
        <bgColor indexed="64"/>
      </patternFill>
    </fill>
    <fill>
      <patternFill patternType="solid">
        <fgColor rgb="FF0070C0"/>
        <bgColor indexed="64"/>
      </patternFill>
    </fill>
    <fill>
      <patternFill patternType="solid">
        <fgColor indexed="49"/>
        <bgColor indexed="64"/>
      </patternFill>
    </fill>
    <fill>
      <patternFill patternType="solid">
        <fgColor indexed="4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top style="thin">
        <color rgb="FF2E4057"/>
      </top>
      <bottom/>
      <diagonal/>
    </border>
    <border>
      <left/>
      <right/>
      <top style="thin">
        <color rgb="FF2E4057"/>
      </top>
      <bottom style="thin">
        <color rgb="FF2E4057"/>
      </bottom>
      <diagonal/>
    </border>
    <border>
      <left style="thin">
        <color rgb="FF2E4057"/>
      </left>
      <right/>
      <top style="thin">
        <color rgb="FF2E4057"/>
      </top>
      <bottom style="thin">
        <color rgb="FF2E4057"/>
      </bottom>
      <diagonal/>
    </border>
    <border>
      <left style="thin">
        <color rgb="FF2E4057"/>
      </left>
      <right style="thin">
        <color rgb="FF2E4057"/>
      </right>
      <top style="thin">
        <color rgb="FF2E4057"/>
      </top>
      <bottom style="thin">
        <color rgb="FF2E4057"/>
      </bottom>
      <diagonal/>
    </border>
    <border>
      <left/>
      <right style="thin">
        <color rgb="FF2E4057"/>
      </right>
      <top style="thin">
        <color rgb="FF2E4057"/>
      </top>
      <bottom style="thin">
        <color rgb="FF2E4057"/>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2E4057"/>
      </top>
      <bottom style="thin">
        <color rgb="FFAAAAAA"/>
      </bottom>
      <diagonal/>
    </border>
    <border>
      <left style="thin">
        <color rgb="FFAAAAAA"/>
      </left>
      <right style="thin">
        <color rgb="FFAAAAAA"/>
      </right>
      <top style="thin">
        <color rgb="FFAAAAAA"/>
      </top>
      <bottom style="thin">
        <color rgb="FF2E4057"/>
      </bottom>
      <diagonal/>
    </border>
    <border>
      <left style="thin">
        <color rgb="FF2E4057"/>
      </left>
      <right style="thin">
        <color rgb="FFAAAAAA"/>
      </right>
      <top style="thin">
        <color rgb="FF2E4057"/>
      </top>
      <bottom style="thin">
        <color rgb="FFAAAAAA"/>
      </bottom>
      <diagonal/>
    </border>
    <border>
      <left style="thin">
        <color rgb="FF2E4057"/>
      </left>
      <right style="thin">
        <color rgb="FFAAAAAA"/>
      </right>
      <top style="thin">
        <color rgb="FFAAAAAA"/>
      </top>
      <bottom style="thin">
        <color rgb="FFAAAAAA"/>
      </bottom>
      <diagonal/>
    </border>
    <border>
      <left style="thin">
        <color rgb="FF2E4057"/>
      </left>
      <right style="thin">
        <color rgb="FFAAAAAA"/>
      </right>
      <top style="thin">
        <color rgb="FFAAAAAA"/>
      </top>
      <bottom style="thin">
        <color rgb="FF2E4057"/>
      </bottom>
      <diagonal/>
    </border>
    <border>
      <left style="thin">
        <color rgb="FFAAAAAA"/>
      </left>
      <right style="thin">
        <color rgb="FF2E4057"/>
      </right>
      <top style="thin">
        <color rgb="FF2E4057"/>
      </top>
      <bottom style="thin">
        <color rgb="FFAAAAAA"/>
      </bottom>
      <diagonal/>
    </border>
    <border>
      <left style="thin">
        <color rgb="FFAAAAAA"/>
      </left>
      <right style="thin">
        <color rgb="FF2E4057"/>
      </right>
      <top style="thin">
        <color rgb="FFAAAAAA"/>
      </top>
      <bottom style="thin">
        <color rgb="FFAAAAAA"/>
      </bottom>
      <diagonal/>
    </border>
    <border>
      <left style="thin">
        <color rgb="FFAAAAAA"/>
      </left>
      <right style="thin">
        <color rgb="FF2E4057"/>
      </right>
      <top style="thin">
        <color rgb="FFAAAAAA"/>
      </top>
      <bottom style="thin">
        <color rgb="FF2E4057"/>
      </bottom>
      <diagonal/>
    </border>
    <border>
      <left/>
      <right/>
      <top style="thin">
        <color rgb="FF1A2E44"/>
      </top>
      <bottom style="thin">
        <color rgb="FF1A2E44"/>
      </bottom>
      <diagonal/>
    </border>
    <border>
      <left style="thin">
        <color rgb="FF1A2E44"/>
      </left>
      <right/>
      <top style="thin">
        <color rgb="FF1A2E44"/>
      </top>
      <bottom style="thin">
        <color rgb="FF1A2E44"/>
      </bottom>
      <diagonal/>
    </border>
    <border>
      <left/>
      <right style="thin">
        <color rgb="FF1A2E44"/>
      </right>
      <top style="thin">
        <color rgb="FF1A2E44"/>
      </top>
      <bottom style="thin">
        <color rgb="FF1A2E44"/>
      </bottom>
      <diagonal/>
    </border>
    <border>
      <left style="thin">
        <color rgb="FF2E4057"/>
      </left>
      <right/>
      <top style="thin">
        <color rgb="FF2E4057"/>
      </top>
      <bottom/>
      <diagonal/>
    </border>
    <border>
      <left style="thin">
        <color rgb="FF2E75B6"/>
      </left>
      <right/>
      <top/>
      <bottom/>
      <diagonal/>
    </border>
    <border>
      <left style="thin">
        <color rgb="FF70AD47"/>
      </left>
      <right/>
      <top/>
      <bottom/>
      <diagonal/>
    </border>
    <border>
      <left style="thin">
        <color rgb="FF2E4057"/>
      </left>
      <right/>
      <top style="thin">
        <color rgb="FF2E4057"/>
      </top>
      <bottom style="thin">
        <color rgb="FFCCCCCC"/>
      </bottom>
      <diagonal/>
    </border>
    <border>
      <left/>
      <right/>
      <top style="thin">
        <color rgb="FF2E4057"/>
      </top>
      <bottom style="thin">
        <color rgb="FFCCCCCC"/>
      </bottom>
      <diagonal/>
    </border>
    <border>
      <left/>
      <right/>
      <top style="thin">
        <color rgb="FFCCCCCC"/>
      </top>
      <bottom style="thin">
        <color rgb="FFCCCCCC"/>
      </bottom>
      <diagonal/>
    </border>
    <border>
      <left/>
      <right/>
      <top style="thin">
        <color rgb="FFCCCCCC"/>
      </top>
      <bottom style="thin">
        <color rgb="FF2E4057"/>
      </bottom>
      <diagonal/>
    </border>
    <border>
      <left style="thin">
        <color rgb="FF2E4057"/>
      </left>
      <right style="thin">
        <color rgb="FFCCCCCC"/>
      </right>
      <top style="thin">
        <color rgb="FF2E4057"/>
      </top>
      <bottom style="thin">
        <color rgb="FFCCCCCC"/>
      </bottom>
      <diagonal/>
    </border>
    <border>
      <left style="thin">
        <color rgb="FFCCCCCC"/>
      </left>
      <right style="thin">
        <color rgb="FF2E4057"/>
      </right>
      <top style="thin">
        <color rgb="FF2E4057"/>
      </top>
      <bottom style="thin">
        <color rgb="FFCCCCCC"/>
      </bottom>
      <diagonal/>
    </border>
    <border>
      <left style="thin">
        <color rgb="FF2E4057"/>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2E4057"/>
      </right>
      <top style="thin">
        <color rgb="FFCCCCCC"/>
      </top>
      <bottom style="thin">
        <color rgb="FFCCCCCC"/>
      </bottom>
      <diagonal/>
    </border>
    <border>
      <left style="thin">
        <color rgb="FF2E4057"/>
      </left>
      <right style="thin">
        <color rgb="FFCCCCCC"/>
      </right>
      <top style="thin">
        <color rgb="FFCCCCCC"/>
      </top>
      <bottom style="thin">
        <color rgb="FF2E4057"/>
      </bottom>
      <diagonal/>
    </border>
    <border>
      <left style="thin">
        <color rgb="FFCCCCCC"/>
      </left>
      <right style="thin">
        <color rgb="FF2E4057"/>
      </right>
      <top style="thin">
        <color rgb="FFCCCCCC"/>
      </top>
      <bottom style="thin">
        <color rgb="FF2E4057"/>
      </bottom>
      <diagonal/>
    </border>
    <border>
      <left style="thin">
        <color rgb="FF2E4057"/>
      </left>
      <right style="thin">
        <color rgb="FF2E4057"/>
      </right>
      <top style="thin">
        <color rgb="FF2E4057"/>
      </top>
      <bottom/>
      <diagonal/>
    </border>
    <border>
      <left style="thin">
        <color rgb="FFCCCCCC"/>
      </left>
      <right/>
      <top style="thin">
        <color rgb="FF2E4057"/>
      </top>
      <bottom style="thin">
        <color rgb="FFCCCCCC"/>
      </bottom>
      <diagonal/>
    </border>
    <border>
      <left style="thin">
        <color rgb="FFCCCCCC"/>
      </left>
      <right/>
      <top style="thin">
        <color rgb="FFCCCCCC"/>
      </top>
      <bottom style="thin">
        <color rgb="FFCCCCCC"/>
      </bottom>
      <diagonal/>
    </border>
    <border>
      <left style="thin">
        <color rgb="FFCCCCCC"/>
      </left>
      <right/>
      <top style="thin">
        <color rgb="FFCCCCCC"/>
      </top>
      <bottom style="thin">
        <color rgb="FF2E4057"/>
      </bottom>
      <diagonal/>
    </border>
    <border>
      <left style="thin">
        <color rgb="FF2E75B6"/>
      </left>
      <right style="thin">
        <color rgb="FF2E4057"/>
      </right>
      <top style="thin">
        <color rgb="FF2E4057"/>
      </top>
      <bottom/>
      <diagonal/>
    </border>
    <border>
      <left style="thin">
        <color rgb="FF2E75B6"/>
      </left>
      <right style="thin">
        <color rgb="FFCCCCCC"/>
      </right>
      <top style="thin">
        <color rgb="FF2E4057"/>
      </top>
      <bottom style="thin">
        <color rgb="FFCCCCCC"/>
      </bottom>
      <diagonal/>
    </border>
    <border>
      <left style="thin">
        <color rgb="FF2E75B6"/>
      </left>
      <right style="thin">
        <color rgb="FFCCCCCC"/>
      </right>
      <top style="thin">
        <color rgb="FFCCCCCC"/>
      </top>
      <bottom style="thin">
        <color rgb="FFCCCCCC"/>
      </bottom>
      <diagonal/>
    </border>
    <border>
      <left style="thin">
        <color rgb="FF2E75B6"/>
      </left>
      <right style="thin">
        <color rgb="FFCCCCCC"/>
      </right>
      <top style="thin">
        <color rgb="FFCCCCCC"/>
      </top>
      <bottom style="thin">
        <color rgb="FF2E4057"/>
      </bottom>
      <diagonal/>
    </border>
    <border>
      <left style="thin">
        <color rgb="FF70AD47"/>
      </left>
      <right style="thin">
        <color rgb="FF2E4057"/>
      </right>
      <top style="thin">
        <color rgb="FF2E4057"/>
      </top>
      <bottom/>
      <diagonal/>
    </border>
    <border>
      <left style="thin">
        <color rgb="FF70AD47"/>
      </left>
      <right style="thin">
        <color rgb="FFCCCCCC"/>
      </right>
      <top style="thin">
        <color rgb="FF2E4057"/>
      </top>
      <bottom style="thin">
        <color rgb="FFCCCCCC"/>
      </bottom>
      <diagonal/>
    </border>
    <border>
      <left style="thin">
        <color rgb="FF70AD47"/>
      </left>
      <right style="thin">
        <color rgb="FFCCCCCC"/>
      </right>
      <top style="thin">
        <color rgb="FFCCCCCC"/>
      </top>
      <bottom style="thin">
        <color rgb="FFCCCCCC"/>
      </bottom>
      <diagonal/>
    </border>
    <border>
      <left style="thin">
        <color rgb="FF70AD47"/>
      </left>
      <right style="thin">
        <color rgb="FFCCCCCC"/>
      </right>
      <top style="thin">
        <color rgb="FFCCCCCC"/>
      </top>
      <bottom style="thin">
        <color rgb="FF2E4057"/>
      </bottom>
      <diagonal/>
    </border>
    <border>
      <left style="thin">
        <color rgb="FF2E75B6"/>
      </left>
      <right/>
      <top style="thin">
        <color rgb="FF2E4057"/>
      </top>
      <bottom style="thin">
        <color rgb="FF2E4057"/>
      </bottom>
      <diagonal/>
    </border>
    <border>
      <left/>
      <right style="thin">
        <color rgb="FF70AD47"/>
      </right>
      <top style="thin">
        <color rgb="FF2E4057"/>
      </top>
      <bottom style="thin">
        <color rgb="FF2E4057"/>
      </bottom>
      <diagonal/>
    </border>
    <border>
      <left style="thin">
        <color rgb="FF70AD47"/>
      </left>
      <right/>
      <top style="thin">
        <color rgb="FF2E4057"/>
      </top>
      <bottom style="thin">
        <color rgb="FF2E4057"/>
      </bottom>
      <diagonal/>
    </border>
    <border>
      <left/>
      <right style="thin">
        <color rgb="FF2E75B6"/>
      </right>
      <top style="thin">
        <color rgb="FF2E4057"/>
      </top>
      <bottom style="thin">
        <color rgb="FFCCCCCC"/>
      </bottom>
      <diagonal/>
    </border>
    <border>
      <left style="thin">
        <color rgb="FFCCCCCC"/>
      </left>
      <right style="thin">
        <color rgb="FFCCCCCC"/>
      </right>
      <top/>
      <bottom/>
      <diagonal/>
    </border>
    <border>
      <left style="thin">
        <color rgb="FF2E4057"/>
      </left>
      <right style="thin">
        <color rgb="FFCCCCCC"/>
      </right>
      <top style="thin">
        <color rgb="FF2E4057"/>
      </top>
      <bottom/>
      <diagonal/>
    </border>
    <border>
      <left style="thin">
        <color rgb="FFCCCCCC"/>
      </left>
      <right style="thin">
        <color rgb="FFCCCCCC"/>
      </right>
      <top style="thin">
        <color rgb="FF2E4057"/>
      </top>
      <bottom/>
      <diagonal/>
    </border>
    <border>
      <left style="thin">
        <color rgb="FFCCCCCC"/>
      </left>
      <right style="thin">
        <color rgb="FF2E4057"/>
      </right>
      <top style="thin">
        <color rgb="FF2E4057"/>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s>
  <cellStyleXfs count="1">
    <xf numFmtId="0" fontId="0" fillId="0" borderId="0"/>
  </cellStyleXfs>
  <cellXfs count="258">
    <xf numFmtId="0" fontId="0" fillId="0" borderId="0" xfId="0"/>
    <xf numFmtId="0" fontId="0" fillId="0" borderId="0" xfId="0" applyAlignment="1">
      <alignment horizontal="center"/>
    </xf>
    <xf numFmtId="2" fontId="0" fillId="0" borderId="0" xfId="0" applyNumberFormat="1" applyAlignment="1">
      <alignment horizontal="center"/>
    </xf>
    <xf numFmtId="0" fontId="3" fillId="0" borderId="0" xfId="0" applyFont="1" applyAlignment="1">
      <alignment vertical="center" wrapText="1" readingOrder="1"/>
    </xf>
    <xf numFmtId="0" fontId="2" fillId="0" borderId="0" xfId="0" applyFont="1" applyAlignment="1">
      <alignment vertical="center" wrapText="1" readingOrder="1"/>
    </xf>
    <xf numFmtId="0" fontId="4" fillId="0" borderId="0" xfId="0" applyFont="1" applyAlignment="1">
      <alignment vertical="center" wrapText="1" readingOrder="1"/>
    </xf>
    <xf numFmtId="0" fontId="5" fillId="0" borderId="0" xfId="0" applyFont="1" applyAlignment="1">
      <alignment vertical="center" wrapText="1" readingOrder="1"/>
    </xf>
    <xf numFmtId="0" fontId="3" fillId="0" borderId="0" xfId="0" applyFont="1" applyAlignment="1">
      <alignment horizontal="center" vertical="center" wrapText="1" readingOrder="1"/>
    </xf>
    <xf numFmtId="0" fontId="2" fillId="0" borderId="0" xfId="0" applyFont="1" applyAlignment="1">
      <alignment horizontal="center" vertical="center" wrapText="1" readingOrder="1"/>
    </xf>
    <xf numFmtId="0" fontId="6" fillId="0" borderId="0" xfId="0" applyFont="1" applyAlignment="1">
      <alignment vertical="center" wrapText="1" readingOrder="1"/>
    </xf>
    <xf numFmtId="0" fontId="4" fillId="2" borderId="0" xfId="0" applyFont="1" applyFill="1" applyAlignment="1">
      <alignment horizontal="center" vertical="center" wrapText="1" readingOrder="1"/>
    </xf>
    <xf numFmtId="0" fontId="2" fillId="2" borderId="0" xfId="0" applyFont="1" applyFill="1" applyAlignment="1">
      <alignment horizontal="center" vertical="center" wrapText="1" readingOrder="1"/>
    </xf>
    <xf numFmtId="2" fontId="4" fillId="2" borderId="0" xfId="0" applyNumberFormat="1" applyFont="1" applyFill="1" applyAlignment="1">
      <alignment vertical="center" wrapText="1" readingOrder="1"/>
    </xf>
    <xf numFmtId="0" fontId="9" fillId="0" borderId="0" xfId="0" applyFont="1"/>
    <xf numFmtId="164" fontId="2" fillId="2" borderId="0" xfId="0" applyNumberFormat="1" applyFont="1" applyFill="1" applyAlignment="1">
      <alignment horizontal="center" vertical="center" wrapText="1" readingOrder="1"/>
    </xf>
    <xf numFmtId="164" fontId="5" fillId="2" borderId="0" xfId="0" applyNumberFormat="1" applyFont="1" applyFill="1" applyAlignment="1">
      <alignment horizontal="center" vertical="center" wrapText="1" readingOrder="1"/>
    </xf>
    <xf numFmtId="2" fontId="0" fillId="3" borderId="0" xfId="0" applyNumberFormat="1" applyFill="1" applyAlignment="1">
      <alignment horizontal="center"/>
    </xf>
    <xf numFmtId="0" fontId="4" fillId="2" borderId="0" xfId="0" applyFont="1" applyFill="1" applyAlignment="1">
      <alignment horizontal="right" vertical="center" wrapText="1" readingOrder="1"/>
    </xf>
    <xf numFmtId="0" fontId="14" fillId="0" borderId="0" xfId="0" applyFont="1"/>
    <xf numFmtId="0" fontId="15" fillId="0" borderId="0" xfId="0" applyFont="1"/>
    <xf numFmtId="2" fontId="18" fillId="6" borderId="0" xfId="0" applyNumberFormat="1" applyFont="1" applyFill="1" applyAlignment="1">
      <alignment horizontal="center"/>
    </xf>
    <xf numFmtId="0" fontId="16" fillId="6" borderId="0" xfId="0" applyFont="1" applyFill="1" applyAlignment="1">
      <alignment horizontal="center" vertical="center" wrapText="1" readingOrder="1"/>
    </xf>
    <xf numFmtId="164" fontId="19" fillId="2" borderId="0" xfId="0" applyNumberFormat="1" applyFont="1" applyFill="1" applyAlignment="1">
      <alignment horizontal="center" vertical="center" wrapText="1" readingOrder="1"/>
    </xf>
    <xf numFmtId="164" fontId="20" fillId="2" borderId="0" xfId="0" applyNumberFormat="1" applyFont="1" applyFill="1" applyAlignment="1">
      <alignment horizontal="center" vertical="center" wrapText="1" readingOrder="1"/>
    </xf>
    <xf numFmtId="164" fontId="21" fillId="2" borderId="0" xfId="0" applyNumberFormat="1" applyFont="1" applyFill="1" applyAlignment="1">
      <alignment horizontal="center" vertical="center" wrapText="1" readingOrder="1"/>
    </xf>
    <xf numFmtId="0" fontId="3" fillId="0" borderId="0" xfId="0" applyFont="1"/>
    <xf numFmtId="2" fontId="23" fillId="6" borderId="0" xfId="0" applyNumberFormat="1" applyFont="1" applyFill="1" applyAlignment="1">
      <alignment horizontal="center"/>
    </xf>
    <xf numFmtId="0" fontId="24" fillId="0" borderId="0" xfId="0" applyFont="1" applyAlignment="1">
      <alignment vertical="center" wrapText="1" readingOrder="1"/>
    </xf>
    <xf numFmtId="2" fontId="19" fillId="6" borderId="0" xfId="0" applyNumberFormat="1" applyFont="1" applyFill="1" applyAlignment="1">
      <alignment horizontal="center"/>
    </xf>
    <xf numFmtId="0" fontId="12" fillId="10" borderId="0" xfId="0" applyFont="1" applyFill="1" applyAlignment="1">
      <alignment horizontal="center"/>
    </xf>
    <xf numFmtId="0" fontId="11" fillId="11" borderId="0" xfId="0" applyFont="1" applyFill="1" applyAlignment="1">
      <alignment horizontal="center"/>
    </xf>
    <xf numFmtId="0" fontId="11" fillId="3" borderId="0" xfId="0" applyFont="1" applyFill="1" applyAlignment="1">
      <alignment horizontal="center"/>
    </xf>
    <xf numFmtId="2" fontId="25" fillId="4" borderId="7" xfId="0" applyNumberFormat="1" applyFont="1" applyFill="1" applyBorder="1" applyAlignment="1">
      <alignment horizontal="center"/>
    </xf>
    <xf numFmtId="164" fontId="25" fillId="4" borderId="7" xfId="0" applyNumberFormat="1" applyFont="1" applyFill="1" applyBorder="1" applyAlignment="1">
      <alignment horizontal="center"/>
    </xf>
    <xf numFmtId="0" fontId="12" fillId="10" borderId="8" xfId="0" applyFont="1" applyFill="1" applyBorder="1" applyAlignment="1">
      <alignment horizontal="center"/>
    </xf>
    <xf numFmtId="0" fontId="10" fillId="4" borderId="9" xfId="0" applyFont="1" applyFill="1" applyBorder="1" applyAlignment="1">
      <alignment horizontal="center"/>
    </xf>
    <xf numFmtId="0" fontId="12" fillId="10" borderId="10" xfId="0" applyFont="1" applyFill="1" applyBorder="1"/>
    <xf numFmtId="0" fontId="25" fillId="4" borderId="11" xfId="0" applyFont="1" applyFill="1" applyBorder="1"/>
    <xf numFmtId="0" fontId="26" fillId="4" borderId="12" xfId="0" applyFont="1" applyFill="1" applyBorder="1"/>
    <xf numFmtId="0" fontId="0" fillId="0" borderId="13" xfId="0" applyBorder="1"/>
    <xf numFmtId="0" fontId="7" fillId="4" borderId="14" xfId="0" applyFont="1" applyFill="1" applyBorder="1"/>
    <xf numFmtId="0" fontId="0" fillId="0" borderId="14" xfId="0" applyBorder="1"/>
    <xf numFmtId="0" fontId="0" fillId="0" borderId="15" xfId="0" applyBorder="1"/>
    <xf numFmtId="0" fontId="25" fillId="3" borderId="0" xfId="0" applyFont="1" applyFill="1"/>
    <xf numFmtId="2" fontId="9" fillId="11" borderId="7" xfId="0" applyNumberFormat="1" applyFont="1" applyFill="1" applyBorder="1" applyAlignment="1">
      <alignment horizontal="center"/>
    </xf>
    <xf numFmtId="2" fontId="9" fillId="3" borderId="7" xfId="0" applyNumberFormat="1" applyFont="1" applyFill="1" applyBorder="1" applyAlignment="1">
      <alignment horizontal="center"/>
    </xf>
    <xf numFmtId="2" fontId="9" fillId="11" borderId="9" xfId="0" applyNumberFormat="1" applyFont="1" applyFill="1" applyBorder="1" applyAlignment="1">
      <alignment horizontal="center"/>
    </xf>
    <xf numFmtId="0" fontId="25" fillId="11" borderId="11" xfId="0" applyFont="1" applyFill="1" applyBorder="1"/>
    <xf numFmtId="0" fontId="25" fillId="3" borderId="11" xfId="0" applyFont="1" applyFill="1" applyBorder="1"/>
    <xf numFmtId="0" fontId="25" fillId="11" borderId="12" xfId="0" applyFont="1" applyFill="1" applyBorder="1"/>
    <xf numFmtId="0" fontId="28" fillId="10" borderId="13" xfId="0" applyFont="1" applyFill="1" applyBorder="1" applyAlignment="1">
      <alignment horizontal="center"/>
    </xf>
    <xf numFmtId="0" fontId="11" fillId="11" borderId="14" xfId="0" applyFont="1" applyFill="1" applyBorder="1" applyAlignment="1">
      <alignment horizontal="center"/>
    </xf>
    <xf numFmtId="0" fontId="11" fillId="3" borderId="14" xfId="0" applyFont="1" applyFill="1" applyBorder="1" applyAlignment="1">
      <alignment horizontal="center"/>
    </xf>
    <xf numFmtId="0" fontId="11" fillId="11" borderId="15" xfId="0" applyFont="1" applyFill="1" applyBorder="1" applyAlignment="1">
      <alignment horizontal="center"/>
    </xf>
    <xf numFmtId="2" fontId="9" fillId="3" borderId="9" xfId="0" applyNumberFormat="1" applyFont="1" applyFill="1" applyBorder="1" applyAlignment="1">
      <alignment horizontal="center"/>
    </xf>
    <xf numFmtId="0" fontId="25" fillId="3" borderId="12" xfId="0" applyFont="1" applyFill="1" applyBorder="1"/>
    <xf numFmtId="2" fontId="14" fillId="11" borderId="14" xfId="0" applyNumberFormat="1" applyFont="1" applyFill="1" applyBorder="1" applyAlignment="1">
      <alignment horizontal="center"/>
    </xf>
    <xf numFmtId="2" fontId="25" fillId="11" borderId="7" xfId="0" applyNumberFormat="1" applyFont="1" applyFill="1" applyBorder="1" applyAlignment="1">
      <alignment horizontal="center"/>
    </xf>
    <xf numFmtId="2" fontId="25" fillId="3" borderId="7" xfId="0" applyNumberFormat="1" applyFont="1" applyFill="1" applyBorder="1" applyAlignment="1">
      <alignment horizontal="center"/>
    </xf>
    <xf numFmtId="2" fontId="25" fillId="3" borderId="9" xfId="0" applyNumberFormat="1" applyFont="1" applyFill="1" applyBorder="1" applyAlignment="1">
      <alignment horizontal="center"/>
    </xf>
    <xf numFmtId="0" fontId="12" fillId="10" borderId="13" xfId="0" applyFont="1" applyFill="1" applyBorder="1" applyAlignment="1">
      <alignment horizontal="center"/>
    </xf>
    <xf numFmtId="2" fontId="9" fillId="11" borderId="14" xfId="0" applyNumberFormat="1" applyFont="1" applyFill="1" applyBorder="1" applyAlignment="1">
      <alignment horizontal="center"/>
    </xf>
    <xf numFmtId="2" fontId="9" fillId="3" borderId="14" xfId="0" applyNumberFormat="1" applyFont="1" applyFill="1" applyBorder="1" applyAlignment="1">
      <alignment horizontal="center"/>
    </xf>
    <xf numFmtId="2" fontId="9" fillId="3" borderId="15" xfId="0" applyNumberFormat="1" applyFont="1" applyFill="1" applyBorder="1" applyAlignment="1">
      <alignment horizontal="center"/>
    </xf>
    <xf numFmtId="0" fontId="0" fillId="0" borderId="20" xfId="0" applyBorder="1"/>
    <xf numFmtId="0" fontId="0" fillId="0" borderId="21" xfId="0" applyBorder="1"/>
    <xf numFmtId="0" fontId="24" fillId="0" borderId="0" xfId="0" applyFont="1"/>
    <xf numFmtId="0" fontId="12" fillId="10" borderId="26" xfId="0" applyFont="1" applyFill="1" applyBorder="1"/>
    <xf numFmtId="0" fontId="12" fillId="13" borderId="2" xfId="0" applyFont="1" applyFill="1" applyBorder="1" applyAlignment="1">
      <alignment horizontal="center"/>
    </xf>
    <xf numFmtId="0" fontId="12" fillId="10" borderId="5" xfId="0" applyFont="1" applyFill="1" applyBorder="1" applyAlignment="1">
      <alignment horizontal="center"/>
    </xf>
    <xf numFmtId="0" fontId="0" fillId="10" borderId="33" xfId="0" applyFill="1" applyBorder="1"/>
    <xf numFmtId="0" fontId="12" fillId="14" borderId="33" xfId="0" applyFont="1" applyFill="1" applyBorder="1" applyAlignment="1">
      <alignment horizontal="center"/>
    </xf>
    <xf numFmtId="0" fontId="0" fillId="13" borderId="23" xfId="0" applyFill="1" applyBorder="1"/>
    <xf numFmtId="2" fontId="9" fillId="11" borderId="24" xfId="0" applyNumberFormat="1" applyFont="1" applyFill="1" applyBorder="1" applyAlignment="1">
      <alignment horizontal="center"/>
    </xf>
    <xf numFmtId="2" fontId="7" fillId="11" borderId="24" xfId="0" applyNumberFormat="1" applyFont="1" applyFill="1" applyBorder="1" applyAlignment="1">
      <alignment horizontal="center"/>
    </xf>
    <xf numFmtId="2" fontId="9" fillId="3" borderId="24" xfId="0" applyNumberFormat="1" applyFont="1" applyFill="1" applyBorder="1" applyAlignment="1">
      <alignment horizontal="center"/>
    </xf>
    <xf numFmtId="2" fontId="7" fillId="3" borderId="24" xfId="0" applyNumberFormat="1" applyFont="1" applyFill="1" applyBorder="1" applyAlignment="1">
      <alignment horizontal="center"/>
    </xf>
    <xf numFmtId="0" fontId="30" fillId="11" borderId="25" xfId="0" applyFont="1" applyFill="1" applyBorder="1" applyAlignment="1">
      <alignment horizontal="center"/>
    </xf>
    <xf numFmtId="0" fontId="0" fillId="14" borderId="27" xfId="0" applyFill="1" applyBorder="1"/>
    <xf numFmtId="0" fontId="25" fillId="11" borderId="28" xfId="0" applyFont="1" applyFill="1" applyBorder="1"/>
    <xf numFmtId="2" fontId="7" fillId="11" borderId="30" xfId="0" applyNumberFormat="1" applyFont="1" applyFill="1" applyBorder="1" applyAlignment="1">
      <alignment horizontal="center"/>
    </xf>
    <xf numFmtId="0" fontId="25" fillId="3" borderId="28" xfId="0" applyFont="1" applyFill="1" applyBorder="1"/>
    <xf numFmtId="2" fontId="7" fillId="3" borderId="30" xfId="0" applyNumberFormat="1" applyFont="1" applyFill="1" applyBorder="1" applyAlignment="1">
      <alignment horizontal="center"/>
    </xf>
    <xf numFmtId="0" fontId="25" fillId="11" borderId="31" xfId="0" applyFont="1" applyFill="1" applyBorder="1"/>
    <xf numFmtId="0" fontId="30" fillId="11" borderId="32" xfId="0" applyFont="1" applyFill="1" applyBorder="1" applyAlignment="1">
      <alignment horizontal="center"/>
    </xf>
    <xf numFmtId="0" fontId="30" fillId="11" borderId="24" xfId="0" applyFont="1" applyFill="1" applyBorder="1" applyAlignment="1">
      <alignment horizontal="center"/>
    </xf>
    <xf numFmtId="0" fontId="30" fillId="3" borderId="24" xfId="0" applyFont="1" applyFill="1" applyBorder="1" applyAlignment="1">
      <alignment horizontal="center"/>
    </xf>
    <xf numFmtId="0" fontId="30" fillId="11" borderId="30" xfId="0" applyFont="1" applyFill="1" applyBorder="1" applyAlignment="1">
      <alignment horizontal="center"/>
    </xf>
    <xf numFmtId="0" fontId="30" fillId="3" borderId="30" xfId="0" applyFont="1" applyFill="1" applyBorder="1" applyAlignment="1">
      <alignment horizontal="center"/>
    </xf>
    <xf numFmtId="0" fontId="12" fillId="13" borderId="24" xfId="0" applyFont="1" applyFill="1" applyBorder="1" applyAlignment="1">
      <alignment horizontal="center"/>
    </xf>
    <xf numFmtId="2" fontId="9" fillId="3" borderId="25" xfId="0" applyNumberFormat="1" applyFont="1" applyFill="1" applyBorder="1" applyAlignment="1">
      <alignment horizontal="center"/>
    </xf>
    <xf numFmtId="0" fontId="12" fillId="10" borderId="28" xfId="0" applyFont="1" applyFill="1" applyBorder="1" applyAlignment="1">
      <alignment horizontal="center"/>
    </xf>
    <xf numFmtId="0" fontId="12" fillId="14" borderId="30" xfId="0" applyFont="1" applyFill="1" applyBorder="1" applyAlignment="1">
      <alignment horizontal="center"/>
    </xf>
    <xf numFmtId="2" fontId="9" fillId="11" borderId="30" xfId="0" applyNumberFormat="1" applyFont="1" applyFill="1" applyBorder="1" applyAlignment="1">
      <alignment horizontal="center"/>
    </xf>
    <xf numFmtId="2" fontId="9" fillId="3" borderId="30" xfId="0" applyNumberFormat="1" applyFont="1" applyFill="1" applyBorder="1" applyAlignment="1">
      <alignment horizontal="center"/>
    </xf>
    <xf numFmtId="0" fontId="25" fillId="3" borderId="31" xfId="0" applyFont="1" applyFill="1" applyBorder="1"/>
    <xf numFmtId="2" fontId="9" fillId="3" borderId="32" xfId="0" applyNumberFormat="1" applyFont="1" applyFill="1" applyBorder="1" applyAlignment="1">
      <alignment horizontal="center"/>
    </xf>
    <xf numFmtId="0" fontId="28" fillId="10" borderId="4" xfId="0" applyFont="1" applyFill="1" applyBorder="1" applyAlignment="1">
      <alignment horizontal="center"/>
    </xf>
    <xf numFmtId="0" fontId="0" fillId="10" borderId="19" xfId="0" applyFill="1" applyBorder="1"/>
    <xf numFmtId="0" fontId="0" fillId="10" borderId="34" xfId="0" applyFill="1" applyBorder="1"/>
    <xf numFmtId="0" fontId="11" fillId="11" borderId="35" xfId="0" applyFont="1" applyFill="1" applyBorder="1" applyAlignment="1">
      <alignment horizontal="center"/>
    </xf>
    <xf numFmtId="0" fontId="11" fillId="3" borderId="35" xfId="0" applyFont="1" applyFill="1" applyBorder="1" applyAlignment="1">
      <alignment horizontal="center"/>
    </xf>
    <xf numFmtId="0" fontId="11" fillId="11" borderId="36" xfId="0" applyFont="1" applyFill="1" applyBorder="1" applyAlignment="1">
      <alignment horizontal="center"/>
    </xf>
    <xf numFmtId="0" fontId="33" fillId="10" borderId="35" xfId="0" applyFont="1" applyFill="1" applyBorder="1" applyAlignment="1">
      <alignment horizontal="center"/>
    </xf>
    <xf numFmtId="0" fontId="11" fillId="3" borderId="36" xfId="0" applyFont="1" applyFill="1" applyBorder="1" applyAlignment="1">
      <alignment horizontal="center"/>
    </xf>
    <xf numFmtId="0" fontId="12" fillId="13" borderId="37" xfId="0" applyFont="1" applyFill="1" applyBorder="1" applyAlignment="1">
      <alignment horizontal="center"/>
    </xf>
    <xf numFmtId="0" fontId="0" fillId="13" borderId="38" xfId="0" applyFill="1" applyBorder="1"/>
    <xf numFmtId="2" fontId="9" fillId="11" borderId="39" xfId="0" applyNumberFormat="1" applyFont="1" applyFill="1" applyBorder="1" applyAlignment="1">
      <alignment horizontal="center"/>
    </xf>
    <xf numFmtId="2" fontId="9" fillId="3" borderId="39" xfId="0" applyNumberFormat="1" applyFont="1" applyFill="1" applyBorder="1" applyAlignment="1">
      <alignment horizontal="center"/>
    </xf>
    <xf numFmtId="2" fontId="9" fillId="11" borderId="40" xfId="0" applyNumberFormat="1" applyFont="1" applyFill="1" applyBorder="1" applyAlignment="1">
      <alignment horizontal="center"/>
    </xf>
    <xf numFmtId="0" fontId="12" fillId="13" borderId="39" xfId="0" applyFont="1" applyFill="1" applyBorder="1" applyAlignment="1">
      <alignment horizontal="center"/>
    </xf>
    <xf numFmtId="2" fontId="9" fillId="3" borderId="40" xfId="0" applyNumberFormat="1" applyFont="1" applyFill="1" applyBorder="1" applyAlignment="1">
      <alignment horizontal="center"/>
    </xf>
    <xf numFmtId="0" fontId="12" fillId="14" borderId="41" xfId="0" applyFont="1" applyFill="1" applyBorder="1" applyAlignment="1">
      <alignment horizontal="center"/>
    </xf>
    <xf numFmtId="0" fontId="0" fillId="14" borderId="42" xfId="0" applyFill="1" applyBorder="1"/>
    <xf numFmtId="2" fontId="9" fillId="11" borderId="43" xfId="0" applyNumberFormat="1" applyFont="1" applyFill="1" applyBorder="1" applyAlignment="1">
      <alignment horizontal="center"/>
    </xf>
    <xf numFmtId="2" fontId="9" fillId="3" borderId="43" xfId="0" applyNumberFormat="1" applyFont="1" applyFill="1" applyBorder="1" applyAlignment="1">
      <alignment horizontal="center"/>
    </xf>
    <xf numFmtId="2" fontId="9" fillId="11" borderId="44" xfId="0" applyNumberFormat="1" applyFont="1" applyFill="1" applyBorder="1" applyAlignment="1">
      <alignment horizontal="center"/>
    </xf>
    <xf numFmtId="0" fontId="12" fillId="14" borderId="43" xfId="0" applyFont="1" applyFill="1" applyBorder="1" applyAlignment="1">
      <alignment horizontal="center"/>
    </xf>
    <xf numFmtId="2" fontId="9" fillId="3" borderId="44" xfId="0" applyNumberFormat="1" applyFont="1" applyFill="1" applyBorder="1" applyAlignment="1">
      <alignment horizontal="center"/>
    </xf>
    <xf numFmtId="0" fontId="12" fillId="10" borderId="50" xfId="0" applyFont="1" applyFill="1" applyBorder="1"/>
    <xf numFmtId="0" fontId="12" fillId="10" borderId="51" xfId="0" applyFont="1" applyFill="1" applyBorder="1" applyAlignment="1">
      <alignment horizontal="center"/>
    </xf>
    <xf numFmtId="0" fontId="12" fillId="10" borderId="52" xfId="0" applyFont="1" applyFill="1" applyBorder="1" applyAlignment="1">
      <alignment horizontal="center"/>
    </xf>
    <xf numFmtId="0" fontId="25" fillId="8" borderId="1" xfId="0" applyFont="1" applyFill="1" applyBorder="1"/>
    <xf numFmtId="164" fontId="17" fillId="8" borderId="1" xfId="0" applyNumberFormat="1" applyFont="1" applyFill="1" applyBorder="1" applyAlignment="1">
      <alignment horizontal="center"/>
    </xf>
    <xf numFmtId="0" fontId="7" fillId="8" borderId="1" xfId="0" applyFont="1" applyFill="1" applyBorder="1" applyAlignment="1">
      <alignment horizontal="center"/>
    </xf>
    <xf numFmtId="0" fontId="26" fillId="8" borderId="1" xfId="0" applyFont="1" applyFill="1" applyBorder="1"/>
    <xf numFmtId="0" fontId="0" fillId="0" borderId="0" xfId="0" applyAlignment="1">
      <alignment wrapText="1"/>
    </xf>
    <xf numFmtId="0" fontId="0" fillId="11" borderId="0" xfId="0" applyFill="1"/>
    <xf numFmtId="0" fontId="0" fillId="3" borderId="0" xfId="0" applyFill="1"/>
    <xf numFmtId="0" fontId="34" fillId="0" borderId="0" xfId="0" applyFont="1"/>
    <xf numFmtId="0" fontId="35" fillId="0" borderId="0" xfId="0" applyFont="1"/>
    <xf numFmtId="0" fontId="35" fillId="9" borderId="0" xfId="0" applyFont="1" applyFill="1" applyAlignment="1">
      <alignment horizontal="center"/>
    </xf>
    <xf numFmtId="0" fontId="12" fillId="10" borderId="0" xfId="0" applyFont="1" applyFill="1" applyAlignment="1">
      <alignment horizontal="center" wrapText="1"/>
    </xf>
    <xf numFmtId="0" fontId="12" fillId="16" borderId="0" xfId="0" applyFont="1" applyFill="1" applyAlignment="1">
      <alignment horizontal="center" wrapText="1"/>
    </xf>
    <xf numFmtId="2" fontId="0" fillId="11" borderId="0" xfId="0" applyNumberFormat="1" applyFill="1" applyAlignment="1">
      <alignment horizontal="center"/>
    </xf>
    <xf numFmtId="164" fontId="0" fillId="11" borderId="0" xfId="0" applyNumberFormat="1" applyFill="1" applyAlignment="1">
      <alignment horizontal="center"/>
    </xf>
    <xf numFmtId="2" fontId="1" fillId="17" borderId="0" xfId="0" applyNumberFormat="1" applyFont="1" applyFill="1" applyAlignment="1">
      <alignment horizontal="center"/>
    </xf>
    <xf numFmtId="164" fontId="0" fillId="3" borderId="0" xfId="0" applyNumberFormat="1" applyFill="1" applyAlignment="1">
      <alignment horizontal="center"/>
    </xf>
    <xf numFmtId="0" fontId="38" fillId="10" borderId="0" xfId="0" applyFont="1" applyFill="1" applyAlignment="1">
      <alignment horizontal="center"/>
    </xf>
    <xf numFmtId="0" fontId="35" fillId="4" borderId="0" xfId="0" applyFont="1" applyFill="1" applyAlignment="1">
      <alignment horizontal="center"/>
    </xf>
    <xf numFmtId="2" fontId="39" fillId="4" borderId="0" xfId="0" applyNumberFormat="1" applyFont="1" applyFill="1" applyAlignment="1">
      <alignment horizontal="center"/>
    </xf>
    <xf numFmtId="0" fontId="36" fillId="10" borderId="0" xfId="0" applyFont="1" applyFill="1" applyAlignment="1">
      <alignment horizontal="center"/>
    </xf>
    <xf numFmtId="2" fontId="40" fillId="4" borderId="0" xfId="0" applyNumberFormat="1" applyFont="1" applyFill="1" applyAlignment="1">
      <alignment horizontal="center"/>
    </xf>
    <xf numFmtId="0" fontId="34" fillId="4" borderId="0" xfId="0" applyFont="1" applyFill="1" applyAlignment="1">
      <alignment horizontal="center"/>
    </xf>
    <xf numFmtId="0" fontId="41" fillId="0" borderId="0" xfId="0" applyFont="1" applyAlignment="1">
      <alignment horizontal="center"/>
    </xf>
    <xf numFmtId="2" fontId="37" fillId="19" borderId="0" xfId="0" applyNumberFormat="1" applyFont="1" applyFill="1" applyAlignment="1">
      <alignment horizontal="center"/>
    </xf>
    <xf numFmtId="0" fontId="12" fillId="10" borderId="29" xfId="0" applyFont="1" applyFill="1" applyBorder="1" applyAlignment="1">
      <alignment horizontal="center"/>
    </xf>
    <xf numFmtId="0" fontId="12" fillId="10" borderId="29" xfId="0" applyFont="1" applyFill="1" applyBorder="1" applyAlignment="1">
      <alignment horizontal="center" wrapText="1"/>
    </xf>
    <xf numFmtId="0" fontId="0" fillId="0" borderId="29" xfId="0" applyBorder="1"/>
    <xf numFmtId="0" fontId="41" fillId="0" borderId="29" xfId="0" applyFont="1" applyBorder="1" applyAlignment="1">
      <alignment horizontal="center"/>
    </xf>
    <xf numFmtId="0" fontId="7" fillId="0" borderId="29" xfId="0" applyFont="1" applyBorder="1" applyAlignment="1">
      <alignment horizontal="center"/>
    </xf>
    <xf numFmtId="0" fontId="34" fillId="0" borderId="29" xfId="0" applyFont="1" applyBorder="1" applyAlignment="1">
      <alignment wrapText="1"/>
    </xf>
    <xf numFmtId="2" fontId="26" fillId="4" borderId="29" xfId="0" applyNumberFormat="1" applyFont="1" applyFill="1" applyBorder="1" applyAlignment="1">
      <alignment horizontal="center"/>
    </xf>
    <xf numFmtId="164" fontId="26" fillId="4" borderId="29" xfId="0" applyNumberFormat="1" applyFont="1" applyFill="1" applyBorder="1" applyAlignment="1">
      <alignment horizontal="center"/>
    </xf>
    <xf numFmtId="0" fontId="28" fillId="10" borderId="29" xfId="0" applyFont="1" applyFill="1" applyBorder="1" applyAlignment="1">
      <alignment horizontal="center"/>
    </xf>
    <xf numFmtId="2" fontId="10" fillId="4" borderId="29" xfId="0" applyNumberFormat="1" applyFont="1" applyFill="1" applyBorder="1" applyAlignment="1">
      <alignment horizontal="center"/>
    </xf>
    <xf numFmtId="0" fontId="10" fillId="4" borderId="29" xfId="0" applyFont="1" applyFill="1" applyBorder="1" applyAlignment="1">
      <alignment horizontal="center"/>
    </xf>
    <xf numFmtId="0" fontId="0" fillId="0" borderId="29" xfId="0" applyBorder="1" applyAlignment="1">
      <alignment horizontal="center"/>
    </xf>
    <xf numFmtId="2" fontId="0" fillId="0" borderId="29" xfId="0" applyNumberFormat="1" applyBorder="1" applyAlignment="1">
      <alignment horizontal="center"/>
    </xf>
    <xf numFmtId="2" fontId="26" fillId="20" borderId="29" xfId="0" applyNumberFormat="1" applyFont="1" applyFill="1" applyBorder="1" applyAlignment="1">
      <alignment horizontal="center"/>
    </xf>
    <xf numFmtId="2" fontId="26" fillId="19" borderId="29" xfId="0" applyNumberFormat="1" applyFont="1" applyFill="1" applyBorder="1" applyAlignment="1">
      <alignment horizontal="center"/>
    </xf>
    <xf numFmtId="164" fontId="26" fillId="19" borderId="29" xfId="0" applyNumberFormat="1" applyFont="1" applyFill="1" applyBorder="1" applyAlignment="1">
      <alignment horizontal="center"/>
    </xf>
    <xf numFmtId="0" fontId="42" fillId="0" borderId="29" xfId="0" applyFont="1" applyBorder="1" applyAlignment="1">
      <alignment wrapText="1"/>
    </xf>
    <xf numFmtId="2" fontId="43" fillId="4" borderId="0" xfId="0" applyNumberFormat="1" applyFont="1" applyFill="1" applyAlignment="1">
      <alignment horizontal="center"/>
    </xf>
    <xf numFmtId="0" fontId="44" fillId="0" borderId="0" xfId="0" applyFont="1"/>
    <xf numFmtId="2" fontId="40" fillId="19" borderId="0" xfId="0" applyNumberFormat="1" applyFont="1" applyFill="1" applyAlignment="1">
      <alignment horizontal="center"/>
    </xf>
    <xf numFmtId="2" fontId="44" fillId="0" borderId="0" xfId="0" applyNumberFormat="1" applyFont="1" applyAlignment="1">
      <alignment horizontal="center"/>
    </xf>
    <xf numFmtId="164" fontId="44" fillId="0" borderId="0" xfId="0" applyNumberFormat="1" applyFont="1" applyAlignment="1">
      <alignment horizontal="center"/>
    </xf>
    <xf numFmtId="0" fontId="45" fillId="0" borderId="0" xfId="0" applyFont="1"/>
    <xf numFmtId="0" fontId="46" fillId="0" borderId="0" xfId="0" applyFont="1"/>
    <xf numFmtId="0" fontId="47" fillId="0" borderId="0" xfId="0" applyFont="1"/>
    <xf numFmtId="0" fontId="49" fillId="0" borderId="0" xfId="0" applyFont="1"/>
    <xf numFmtId="0" fontId="50" fillId="0" borderId="0" xfId="0" applyFont="1"/>
    <xf numFmtId="0" fontId="51" fillId="0" borderId="0" xfId="0" applyFont="1"/>
    <xf numFmtId="0" fontId="52" fillId="22" borderId="0" xfId="0" applyFont="1" applyFill="1" applyAlignment="1">
      <alignment horizontal="center"/>
    </xf>
    <xf numFmtId="2" fontId="49" fillId="0" borderId="0" xfId="0" applyNumberFormat="1" applyFont="1" applyAlignment="1">
      <alignment horizontal="center"/>
    </xf>
    <xf numFmtId="49" fontId="49" fillId="0" borderId="0" xfId="0" applyNumberFormat="1" applyFont="1" applyAlignment="1">
      <alignment horizontal="center"/>
    </xf>
    <xf numFmtId="0" fontId="25" fillId="3" borderId="49" xfId="0" applyFont="1" applyFill="1" applyBorder="1"/>
    <xf numFmtId="0" fontId="53" fillId="3" borderId="49" xfId="0" applyFont="1" applyFill="1" applyBorder="1" applyAlignment="1">
      <alignment horizontal="center"/>
    </xf>
    <xf numFmtId="1" fontId="10" fillId="4" borderId="0" xfId="0" applyNumberFormat="1" applyFont="1" applyFill="1" applyAlignment="1">
      <alignment horizontal="center"/>
    </xf>
    <xf numFmtId="0" fontId="7" fillId="3" borderId="49" xfId="0" applyFont="1" applyFill="1" applyBorder="1" applyAlignment="1">
      <alignment horizontal="center"/>
    </xf>
    <xf numFmtId="0" fontId="34" fillId="3" borderId="0" xfId="0" applyFont="1" applyFill="1" applyAlignment="1">
      <alignment wrapText="1"/>
    </xf>
    <xf numFmtId="0" fontId="25" fillId="23" borderId="1" xfId="0" applyFont="1" applyFill="1" applyBorder="1"/>
    <xf numFmtId="164" fontId="37" fillId="23" borderId="29" xfId="0" applyNumberFormat="1" applyFont="1" applyFill="1" applyBorder="1" applyAlignment="1">
      <alignment horizontal="center"/>
    </xf>
    <xf numFmtId="0" fontId="7" fillId="23" borderId="1" xfId="0" applyFont="1" applyFill="1" applyBorder="1" applyAlignment="1">
      <alignment horizontal="center"/>
    </xf>
    <xf numFmtId="164" fontId="37" fillId="23" borderId="1" xfId="0" applyNumberFormat="1" applyFont="1" applyFill="1" applyBorder="1" applyAlignment="1">
      <alignment horizontal="center"/>
    </xf>
    <xf numFmtId="0" fontId="26" fillId="23" borderId="1" xfId="0" applyFont="1" applyFill="1" applyBorder="1"/>
    <xf numFmtId="1" fontId="37" fillId="23" borderId="1" xfId="0" applyNumberFormat="1" applyFont="1" applyFill="1" applyBorder="1" applyAlignment="1">
      <alignment horizontal="center"/>
    </xf>
    <xf numFmtId="0" fontId="31" fillId="23" borderId="1" xfId="0" applyFont="1" applyFill="1" applyBorder="1" applyAlignment="1">
      <alignment horizontal="center"/>
    </xf>
    <xf numFmtId="2" fontId="26" fillId="7" borderId="0" xfId="0" applyNumberFormat="1" applyFont="1" applyFill="1" applyAlignment="1">
      <alignment horizontal="center"/>
    </xf>
    <xf numFmtId="0" fontId="12" fillId="24" borderId="0" xfId="0" applyFont="1" applyFill="1"/>
    <xf numFmtId="0" fontId="54" fillId="0" borderId="0" xfId="0" applyFont="1"/>
    <xf numFmtId="2" fontId="1" fillId="7" borderId="0" xfId="0" applyNumberFormat="1" applyFont="1" applyFill="1" applyAlignment="1">
      <alignment horizontal="center"/>
    </xf>
    <xf numFmtId="0" fontId="38" fillId="10" borderId="0" xfId="0" applyFont="1" applyFill="1" applyAlignment="1">
      <alignment horizontal="center" wrapText="1"/>
    </xf>
    <xf numFmtId="0" fontId="38" fillId="25" borderId="0" xfId="0" applyFont="1" applyFill="1" applyAlignment="1">
      <alignment horizontal="center" wrapText="1"/>
    </xf>
    <xf numFmtId="0" fontId="38" fillId="24" borderId="0" xfId="0" applyFont="1" applyFill="1" applyAlignment="1">
      <alignment horizontal="center" wrapText="1"/>
    </xf>
    <xf numFmtId="0" fontId="13" fillId="0" borderId="0" xfId="0" applyFont="1" applyAlignment="1">
      <alignment horizontal="center"/>
    </xf>
    <xf numFmtId="2" fontId="0" fillId="9" borderId="0" xfId="0" applyNumberFormat="1" applyFill="1" applyAlignment="1">
      <alignment horizontal="center"/>
    </xf>
    <xf numFmtId="1" fontId="1" fillId="26" borderId="0" xfId="0" applyNumberFormat="1" applyFont="1" applyFill="1" applyAlignment="1">
      <alignment horizontal="center"/>
    </xf>
    <xf numFmtId="164" fontId="1" fillId="26" borderId="0" xfId="0" applyNumberFormat="1" applyFont="1" applyFill="1" applyAlignment="1">
      <alignment horizontal="center"/>
    </xf>
    <xf numFmtId="1" fontId="1" fillId="27" borderId="0" xfId="0" applyNumberFormat="1" applyFont="1" applyFill="1" applyAlignment="1">
      <alignment horizontal="center"/>
    </xf>
    <xf numFmtId="164" fontId="1" fillId="27" borderId="0" xfId="0" applyNumberFormat="1" applyFont="1" applyFill="1" applyAlignment="1">
      <alignment horizontal="center"/>
    </xf>
    <xf numFmtId="0" fontId="56" fillId="0" borderId="0" xfId="0" applyFont="1" applyAlignment="1">
      <alignment horizontal="center"/>
    </xf>
    <xf numFmtId="0" fontId="57" fillId="0" borderId="0" xfId="0" applyFont="1" applyAlignment="1">
      <alignment horizontal="center"/>
    </xf>
    <xf numFmtId="0" fontId="36" fillId="28" borderId="0" xfId="0" applyFont="1" applyFill="1"/>
    <xf numFmtId="0" fontId="12" fillId="28" borderId="0" xfId="0" applyFont="1" applyFill="1" applyAlignment="1">
      <alignment horizontal="center"/>
    </xf>
    <xf numFmtId="0" fontId="0" fillId="28" borderId="0" xfId="0" applyFill="1"/>
    <xf numFmtId="1" fontId="12" fillId="28" borderId="0" xfId="0" applyNumberFormat="1" applyFont="1" applyFill="1" applyAlignment="1">
      <alignment horizontal="center"/>
    </xf>
    <xf numFmtId="164" fontId="12" fillId="28" borderId="0" xfId="0" applyNumberFormat="1" applyFont="1" applyFill="1" applyAlignment="1">
      <alignment horizontal="center"/>
    </xf>
    <xf numFmtId="0" fontId="36" fillId="29" borderId="0" xfId="0" applyFont="1" applyFill="1"/>
    <xf numFmtId="0" fontId="12" fillId="29" borderId="0" xfId="0" applyFont="1" applyFill="1" applyAlignment="1">
      <alignment horizontal="center"/>
    </xf>
    <xf numFmtId="0" fontId="0" fillId="29" borderId="0" xfId="0" applyFill="1"/>
    <xf numFmtId="1" fontId="12" fillId="29" borderId="0" xfId="0" applyNumberFormat="1" applyFont="1" applyFill="1" applyAlignment="1">
      <alignment horizontal="center"/>
    </xf>
    <xf numFmtId="164" fontId="12" fillId="29" borderId="0" xfId="0" applyNumberFormat="1" applyFont="1" applyFill="1" applyAlignment="1">
      <alignment horizontal="center"/>
    </xf>
    <xf numFmtId="0" fontId="36" fillId="30" borderId="0" xfId="0" applyFont="1" applyFill="1"/>
    <xf numFmtId="0" fontId="12" fillId="30" borderId="0" xfId="0" applyFont="1" applyFill="1" applyAlignment="1">
      <alignment horizontal="center"/>
    </xf>
    <xf numFmtId="0" fontId="0" fillId="30" borderId="0" xfId="0" applyFill="1"/>
    <xf numFmtId="1" fontId="12" fillId="30" borderId="0" xfId="0" applyNumberFormat="1" applyFont="1" applyFill="1" applyAlignment="1">
      <alignment horizontal="center"/>
    </xf>
    <xf numFmtId="164" fontId="12" fillId="30" borderId="0" xfId="0" applyNumberFormat="1" applyFont="1" applyFill="1" applyAlignment="1">
      <alignment horizontal="center"/>
    </xf>
    <xf numFmtId="0" fontId="0" fillId="31" borderId="0" xfId="0" applyFill="1"/>
    <xf numFmtId="49" fontId="1" fillId="31" borderId="0" xfId="0" applyNumberFormat="1" applyFont="1" applyFill="1"/>
    <xf numFmtId="49" fontId="0" fillId="0" borderId="0" xfId="0" applyNumberFormat="1"/>
    <xf numFmtId="49" fontId="0" fillId="31" borderId="0" xfId="0" applyNumberFormat="1" applyFill="1"/>
    <xf numFmtId="49" fontId="1" fillId="32" borderId="54" xfId="0" applyNumberFormat="1" applyFont="1" applyFill="1" applyBorder="1" applyAlignment="1">
      <alignment horizontal="center"/>
    </xf>
    <xf numFmtId="49" fontId="0" fillId="32" borderId="53" xfId="0" applyNumberFormat="1" applyFill="1" applyBorder="1" applyAlignment="1">
      <alignment horizontal="center"/>
    </xf>
    <xf numFmtId="0" fontId="1" fillId="32" borderId="54" xfId="0" applyFont="1" applyFill="1" applyBorder="1" applyAlignment="1">
      <alignment horizontal="center"/>
    </xf>
    <xf numFmtId="0" fontId="0" fillId="32" borderId="53" xfId="0" applyFill="1" applyBorder="1" applyAlignment="1">
      <alignment horizontal="center"/>
    </xf>
    <xf numFmtId="0" fontId="35" fillId="9" borderId="0" xfId="0" applyFont="1" applyFill="1" applyAlignment="1">
      <alignment wrapText="1"/>
    </xf>
    <xf numFmtId="0" fontId="29" fillId="15" borderId="0" xfId="0" applyFont="1" applyFill="1" applyAlignment="1">
      <alignment horizontal="center"/>
    </xf>
    <xf numFmtId="0" fontId="11" fillId="9" borderId="0" xfId="0" applyFont="1" applyFill="1" applyAlignment="1">
      <alignment horizontal="center"/>
    </xf>
    <xf numFmtId="0" fontId="12" fillId="15" borderId="0" xfId="0" applyFont="1" applyFill="1" applyAlignment="1">
      <alignment horizontal="center"/>
    </xf>
    <xf numFmtId="0" fontId="12" fillId="15" borderId="0" xfId="0" applyFont="1" applyFill="1" applyAlignment="1">
      <alignment horizontal="center" wrapText="1"/>
    </xf>
    <xf numFmtId="0" fontId="32" fillId="15" borderId="0" xfId="0" applyFont="1" applyFill="1" applyAlignment="1">
      <alignment horizontal="center"/>
    </xf>
    <xf numFmtId="0" fontId="35" fillId="9" borderId="0" xfId="0" applyFont="1" applyFill="1" applyAlignment="1">
      <alignment horizontal="center"/>
    </xf>
    <xf numFmtId="0" fontId="36" fillId="10" borderId="0" xfId="0" applyFont="1" applyFill="1"/>
    <xf numFmtId="0" fontId="48" fillId="21" borderId="0" xfId="0" applyFont="1" applyFill="1" applyAlignment="1">
      <alignment wrapText="1"/>
    </xf>
    <xf numFmtId="0" fontId="48" fillId="21" borderId="0" xfId="0" applyFont="1" applyFill="1"/>
    <xf numFmtId="0" fontId="27" fillId="9" borderId="4" xfId="0" applyFont="1" applyFill="1" applyBorder="1" applyAlignment="1">
      <alignment horizontal="center"/>
    </xf>
    <xf numFmtId="0" fontId="27" fillId="9" borderId="3" xfId="0" applyFont="1" applyFill="1" applyBorder="1" applyAlignment="1">
      <alignment horizontal="center"/>
    </xf>
    <xf numFmtId="0" fontId="27" fillId="9" borderId="6" xfId="0" applyFont="1" applyFill="1" applyBorder="1" applyAlignment="1">
      <alignment horizontal="center"/>
    </xf>
    <xf numFmtId="0" fontId="22" fillId="5" borderId="0" xfId="0" applyFont="1" applyFill="1" applyAlignment="1">
      <alignment horizontal="center" vertical="center" wrapText="1" readingOrder="1"/>
    </xf>
    <xf numFmtId="0" fontId="10" fillId="8" borderId="1" xfId="0" applyFont="1" applyFill="1" applyBorder="1" applyAlignment="1">
      <alignment horizontal="center"/>
    </xf>
    <xf numFmtId="0" fontId="32" fillId="12" borderId="17" xfId="0" applyFont="1" applyFill="1" applyBorder="1" applyAlignment="1">
      <alignment horizontal="center"/>
    </xf>
    <xf numFmtId="0" fontId="32" fillId="12" borderId="16" xfId="0" applyFont="1" applyFill="1" applyBorder="1" applyAlignment="1">
      <alignment horizontal="center"/>
    </xf>
    <xf numFmtId="0" fontId="32" fillId="12" borderId="18" xfId="0" applyFont="1" applyFill="1" applyBorder="1" applyAlignment="1">
      <alignment horizontal="center"/>
    </xf>
    <xf numFmtId="0" fontId="12" fillId="10" borderId="22" xfId="0" applyFont="1" applyFill="1" applyBorder="1" applyAlignment="1">
      <alignment horizontal="center"/>
    </xf>
    <xf numFmtId="0" fontId="12" fillId="10" borderId="48" xfId="0" applyFont="1" applyFill="1" applyBorder="1" applyAlignment="1">
      <alignment horizontal="center"/>
    </xf>
    <xf numFmtId="0" fontId="12" fillId="13" borderId="45" xfId="0" applyFont="1" applyFill="1" applyBorder="1" applyAlignment="1">
      <alignment horizontal="center"/>
    </xf>
    <xf numFmtId="0" fontId="12" fillId="13" borderId="46" xfId="0" applyFont="1" applyFill="1" applyBorder="1" applyAlignment="1">
      <alignment horizontal="center"/>
    </xf>
    <xf numFmtId="0" fontId="12" fillId="14" borderId="47" xfId="0" applyFont="1" applyFill="1" applyBorder="1" applyAlignment="1">
      <alignment horizontal="center"/>
    </xf>
    <xf numFmtId="0" fontId="12" fillId="14" borderId="6" xfId="0" applyFont="1" applyFill="1" applyBorder="1" applyAlignment="1">
      <alignment horizontal="center"/>
    </xf>
    <xf numFmtId="0" fontId="35" fillId="9" borderId="0" xfId="0" applyFont="1" applyFill="1"/>
    <xf numFmtId="0" fontId="12" fillId="18" borderId="0" xfId="0" applyFont="1" applyFill="1" applyAlignment="1">
      <alignment horizontal="center" vertical="center"/>
    </xf>
    <xf numFmtId="0" fontId="58" fillId="0" borderId="0" xfId="0" applyFont="1"/>
    <xf numFmtId="0" fontId="54" fillId="0" borderId="0" xfId="0" applyFont="1"/>
    <xf numFmtId="0" fontId="12" fillId="24" borderId="0" xfId="0" applyFont="1" applyFill="1"/>
    <xf numFmtId="0" fontId="12" fillId="10" borderId="0" xfId="0" applyFont="1" applyFill="1" applyAlignment="1">
      <alignment horizontal="center"/>
    </xf>
    <xf numFmtId="0" fontId="55" fillId="15" borderId="0" xfId="0" applyFont="1" applyFill="1" applyAlignment="1">
      <alignment horizontal="center"/>
    </xf>
  </cellXfs>
  <cellStyles count="1">
    <cellStyle name="Normal" xfId="0" builtinId="0"/>
  </cellStyles>
  <dxfs count="3">
    <dxf>
      <fill>
        <patternFill patternType="solid">
          <fgColor indexed="64"/>
          <bgColor rgb="FFD9E8F5"/>
        </patternFill>
      </fill>
    </dxf>
    <dxf>
      <font>
        <b/>
        <i val="0"/>
        <color rgb="FFFFFFFF"/>
      </font>
      <fill>
        <patternFill patternType="solid">
          <fgColor indexed="64"/>
          <bgColor rgb="FFE8763A"/>
        </patternFill>
      </fill>
    </dxf>
    <dxf>
      <font>
        <b/>
        <i val="0"/>
        <color rgb="FFFFFFFF"/>
      </font>
      <fill>
        <patternFill patternType="solid">
          <fgColor indexed="64"/>
          <bgColor rgb="FF1A3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Carga Distribuida qz — NCh432:2025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L"/>
        </a:p>
      </c:txPr>
    </c:title>
    <c:autoTitleDeleted val="0"/>
    <c:plotArea>
      <c:layout/>
      <c:barChart>
        <c:barDir val="bar"/>
        <c:grouping val="clustered"/>
        <c:varyColors val="0"/>
        <c:ser>
          <c:idx val="0"/>
          <c:order val="0"/>
          <c:tx>
            <c:v>qz (kgf/m²)</c:v>
          </c:tx>
          <c:spPr>
            <a:solidFill>
              <a:schemeClr val="accent1"/>
            </a:solidFill>
            <a:ln>
              <a:solidFill>
                <a:srgbClr val="2E75B6"/>
              </a:solidFill>
              <a:prstDash val="solid"/>
            </a:ln>
            <a:effectLst/>
          </c:spPr>
          <c:invertIfNegative val="0"/>
          <c:cat>
            <c:strRef>
              <c:f>'Presiones vs Altura'!$E$16:$E$215</c:f>
              <c:strCache>
                <c:ptCount val="200"/>
                <c:pt idx="0">
                  <c:v>0.0 m</c:v>
                </c:pt>
                <c:pt idx="1">
                  <c:v>0.1 m</c:v>
                </c:pt>
                <c:pt idx="2">
                  <c:v>0.2 m</c:v>
                </c:pt>
                <c:pt idx="3">
                  <c:v>0.3 m</c:v>
                </c:pt>
                <c:pt idx="4">
                  <c:v>0.4 m</c:v>
                </c:pt>
                <c:pt idx="5">
                  <c:v>0.5 m</c:v>
                </c:pt>
                <c:pt idx="6">
                  <c:v>0.6 m</c:v>
                </c:pt>
                <c:pt idx="7">
                  <c:v>0.7 m</c:v>
                </c:pt>
                <c:pt idx="8">
                  <c:v>0.8 m</c:v>
                </c:pt>
                <c:pt idx="9">
                  <c:v>0.9 m</c:v>
                </c:pt>
                <c:pt idx="10">
                  <c:v>1.0 m</c:v>
                </c:pt>
                <c:pt idx="11">
                  <c:v>1.1 m</c:v>
                </c:pt>
                <c:pt idx="12">
                  <c:v>1.2 m</c:v>
                </c:pt>
                <c:pt idx="13">
                  <c:v>1.3 m</c:v>
                </c:pt>
                <c:pt idx="14">
                  <c:v>1.4 m</c:v>
                </c:pt>
                <c:pt idx="15">
                  <c:v>1.5 m</c:v>
                </c:pt>
                <c:pt idx="16">
                  <c:v>1.6 m</c:v>
                </c:pt>
                <c:pt idx="17">
                  <c:v>1.7 m</c:v>
                </c:pt>
                <c:pt idx="18">
                  <c:v>1.8 m</c:v>
                </c:pt>
                <c:pt idx="19">
                  <c:v>1.9 m</c:v>
                </c:pt>
                <c:pt idx="20">
                  <c:v>2.0 m</c:v>
                </c:pt>
                <c:pt idx="21">
                  <c:v>2.1 m</c:v>
                </c:pt>
                <c:pt idx="22">
                  <c:v>2.2 m</c:v>
                </c:pt>
                <c:pt idx="23">
                  <c:v>2.3 m</c:v>
                </c:pt>
                <c:pt idx="24">
                  <c:v>2.4 m</c:v>
                </c:pt>
                <c:pt idx="25">
                  <c:v>2.5 m</c:v>
                </c:pt>
                <c:pt idx="26">
                  <c:v>2.6 m</c:v>
                </c:pt>
                <c:pt idx="27">
                  <c:v>2.7 m</c:v>
                </c:pt>
                <c:pt idx="28">
                  <c:v>2.8 m</c:v>
                </c:pt>
                <c:pt idx="29">
                  <c:v>2.9 m</c:v>
                </c:pt>
                <c:pt idx="30">
                  <c:v>3.0 m</c:v>
                </c:pt>
                <c:pt idx="31">
                  <c:v>3.1 m</c:v>
                </c:pt>
                <c:pt idx="32">
                  <c:v>3.2 m</c:v>
                </c:pt>
                <c:pt idx="33">
                  <c:v>3.3 m</c:v>
                </c:pt>
                <c:pt idx="34">
                  <c:v>3.4 m</c:v>
                </c:pt>
                <c:pt idx="35">
                  <c:v>3.5 m</c:v>
                </c:pt>
                <c:pt idx="36">
                  <c:v>3.6 m</c:v>
                </c:pt>
                <c:pt idx="37">
                  <c:v>3.7 m</c:v>
                </c:pt>
                <c:pt idx="38">
                  <c:v>3.8 m</c:v>
                </c:pt>
                <c:pt idx="39">
                  <c:v>3.9 m</c:v>
                </c:pt>
                <c:pt idx="40">
                  <c:v>4.0 m</c:v>
                </c:pt>
                <c:pt idx="41">
                  <c:v>4.1 m</c:v>
                </c:pt>
                <c:pt idx="42">
                  <c:v>4.2 m</c:v>
                </c:pt>
                <c:pt idx="43">
                  <c:v>4.3 m</c:v>
                </c:pt>
                <c:pt idx="44">
                  <c:v>4.4 m</c:v>
                </c:pt>
                <c:pt idx="45">
                  <c:v>4.5 m</c:v>
                </c:pt>
                <c:pt idx="46">
                  <c:v>4.6 m</c:v>
                </c:pt>
                <c:pt idx="47">
                  <c:v>4.7 m</c:v>
                </c:pt>
                <c:pt idx="48">
                  <c:v>4.8 m</c:v>
                </c:pt>
                <c:pt idx="49">
                  <c:v>4.9 m</c:v>
                </c:pt>
                <c:pt idx="50">
                  <c:v>5.0 m</c:v>
                </c:pt>
                <c:pt idx="51">
                  <c:v>5.1 m</c:v>
                </c:pt>
                <c:pt idx="52">
                  <c:v>5.2 m</c:v>
                </c:pt>
                <c:pt idx="53">
                  <c:v>5.3 m</c:v>
                </c:pt>
                <c:pt idx="54">
                  <c:v>5.4 m</c:v>
                </c:pt>
                <c:pt idx="55">
                  <c:v>5.5 m</c:v>
                </c:pt>
                <c:pt idx="56">
                  <c:v>5.6 m</c:v>
                </c:pt>
                <c:pt idx="57">
                  <c:v>5.7 m</c:v>
                </c:pt>
                <c:pt idx="58">
                  <c:v>5.8 m</c:v>
                </c:pt>
                <c:pt idx="59">
                  <c:v>5.9 m</c:v>
                </c:pt>
                <c:pt idx="60">
                  <c:v>6.0 m</c:v>
                </c:pt>
                <c:pt idx="61">
                  <c:v>6.1 m</c:v>
                </c:pt>
                <c:pt idx="62">
                  <c:v>6.2 m</c:v>
                </c:pt>
                <c:pt idx="63">
                  <c:v>6.3 m</c:v>
                </c:pt>
                <c:pt idx="64">
                  <c:v>6.4 m</c:v>
                </c:pt>
                <c:pt idx="65">
                  <c:v>6.5 m</c:v>
                </c:pt>
                <c:pt idx="66">
                  <c:v>6.6 m</c:v>
                </c:pt>
                <c:pt idx="67">
                  <c:v>6.7 m</c:v>
                </c:pt>
                <c:pt idx="68">
                  <c:v>6.8 m</c:v>
                </c:pt>
                <c:pt idx="69">
                  <c:v>6.9 m</c:v>
                </c:pt>
                <c:pt idx="70">
                  <c:v>7.0 m</c:v>
                </c:pt>
                <c:pt idx="71">
                  <c:v>7.1 m</c:v>
                </c:pt>
                <c:pt idx="72">
                  <c:v>7.2 m</c:v>
                </c:pt>
                <c:pt idx="73">
                  <c:v>7.3 m</c:v>
                </c:pt>
                <c:pt idx="74">
                  <c:v>7.4 m</c:v>
                </c:pt>
                <c:pt idx="75">
                  <c:v>7.5 m</c:v>
                </c:pt>
                <c:pt idx="76">
                  <c:v>7.6 m</c:v>
                </c:pt>
                <c:pt idx="77">
                  <c:v>7.7 m</c:v>
                </c:pt>
                <c:pt idx="78">
                  <c:v>7.8 m</c:v>
                </c:pt>
                <c:pt idx="79">
                  <c:v>7.9 m</c:v>
                </c:pt>
                <c:pt idx="80">
                  <c:v>8.0 m</c:v>
                </c:pt>
                <c:pt idx="81">
                  <c:v>8.1 m</c:v>
                </c:pt>
                <c:pt idx="82">
                  <c:v>8.2 m</c:v>
                </c:pt>
                <c:pt idx="83">
                  <c:v>8.3 m</c:v>
                </c:pt>
                <c:pt idx="84">
                  <c:v>8.4 m</c:v>
                </c:pt>
                <c:pt idx="85">
                  <c:v>8.5 m</c:v>
                </c:pt>
                <c:pt idx="86">
                  <c:v>8.6 m</c:v>
                </c:pt>
                <c:pt idx="87">
                  <c:v>8.7 m</c:v>
                </c:pt>
                <c:pt idx="88">
                  <c:v>8.8 m</c:v>
                </c:pt>
                <c:pt idx="89">
                  <c:v>8.9 m</c:v>
                </c:pt>
                <c:pt idx="90">
                  <c:v>9.0 m</c:v>
                </c:pt>
                <c:pt idx="91">
                  <c:v>9.1 m</c:v>
                </c:pt>
                <c:pt idx="92">
                  <c:v>9.2 m</c:v>
                </c:pt>
                <c:pt idx="93">
                  <c:v>9.3 m</c:v>
                </c:pt>
                <c:pt idx="94">
                  <c:v>9.4 m</c:v>
                </c:pt>
                <c:pt idx="95">
                  <c:v>9.5 m</c:v>
                </c:pt>
                <c:pt idx="96">
                  <c:v>9.6 m</c:v>
                </c:pt>
                <c:pt idx="97">
                  <c:v>9.7 m</c:v>
                </c:pt>
                <c:pt idx="98">
                  <c:v>9.8 m</c:v>
                </c:pt>
                <c:pt idx="99">
                  <c:v>9.9 m</c:v>
                </c:pt>
                <c:pt idx="100">
                  <c:v>10.0 m</c:v>
                </c:pt>
                <c:pt idx="101">
                  <c:v>10.1 m</c:v>
                </c:pt>
                <c:pt idx="102">
                  <c:v>10.2 m</c:v>
                </c:pt>
                <c:pt idx="103">
                  <c:v>10.3 m</c:v>
                </c:pt>
                <c:pt idx="104">
                  <c:v>10.4 m</c:v>
                </c:pt>
                <c:pt idx="105">
                  <c:v>10.5 m</c:v>
                </c:pt>
                <c:pt idx="106">
                  <c:v>10.6 m</c:v>
                </c:pt>
                <c:pt idx="107">
                  <c:v>10.7 m</c:v>
                </c:pt>
                <c:pt idx="108">
                  <c:v>10.8 m</c:v>
                </c:pt>
                <c:pt idx="109">
                  <c:v>10.9 m</c:v>
                </c:pt>
                <c:pt idx="110">
                  <c:v>11.0 m</c:v>
                </c:pt>
                <c:pt idx="111">
                  <c:v>11.1 m</c:v>
                </c:pt>
                <c:pt idx="112">
                  <c:v>11.2 m</c:v>
                </c:pt>
                <c:pt idx="113">
                  <c:v>11.3 m</c:v>
                </c:pt>
                <c:pt idx="114">
                  <c:v>11.4 m</c:v>
                </c:pt>
                <c:pt idx="115">
                  <c:v>11.5 m</c:v>
                </c:pt>
                <c:pt idx="116">
                  <c:v>11.6 m</c:v>
                </c:pt>
                <c:pt idx="117">
                  <c:v>11.7 m</c:v>
                </c:pt>
                <c:pt idx="118">
                  <c:v>11.8 m</c:v>
                </c:pt>
                <c:pt idx="119">
                  <c:v>11.9 m</c:v>
                </c:pt>
                <c:pt idx="120">
                  <c:v>12.0 m</c:v>
                </c:pt>
                <c:pt idx="121">
                  <c:v>12.1 m</c:v>
                </c:pt>
                <c:pt idx="122">
                  <c:v>12.2 m</c:v>
                </c:pt>
                <c:pt idx="123">
                  <c:v>12.3 m</c:v>
                </c:pt>
                <c:pt idx="124">
                  <c:v>12.4 m</c:v>
                </c:pt>
                <c:pt idx="125">
                  <c:v>12.5 m</c:v>
                </c:pt>
                <c:pt idx="126">
                  <c:v>12.6 m</c:v>
                </c:pt>
                <c:pt idx="127">
                  <c:v>12.7 m</c:v>
                </c:pt>
                <c:pt idx="128">
                  <c:v>12.8 m</c:v>
                </c:pt>
                <c:pt idx="129">
                  <c:v>12.9 m</c:v>
                </c:pt>
                <c:pt idx="130">
                  <c:v>13.0 m</c:v>
                </c:pt>
                <c:pt idx="131">
                  <c:v>13.1 m</c:v>
                </c:pt>
                <c:pt idx="132">
                  <c:v>13.2 m</c:v>
                </c:pt>
                <c:pt idx="133">
                  <c:v>13.3 m</c:v>
                </c:pt>
                <c:pt idx="134">
                  <c:v>13.4 m</c:v>
                </c:pt>
                <c:pt idx="135">
                  <c:v>13.5 m</c:v>
                </c:pt>
                <c:pt idx="136">
                  <c:v>13.6 m</c:v>
                </c:pt>
                <c:pt idx="137">
                  <c:v>13.7 m</c:v>
                </c:pt>
                <c:pt idx="138">
                  <c:v>13.8 m</c:v>
                </c:pt>
                <c:pt idx="139">
                  <c:v>13.9 m</c:v>
                </c:pt>
                <c:pt idx="140">
                  <c:v>14.0 m</c:v>
                </c:pt>
                <c:pt idx="141">
                  <c:v>14.1 m</c:v>
                </c:pt>
                <c:pt idx="142">
                  <c:v>14.2 m</c:v>
                </c:pt>
                <c:pt idx="143">
                  <c:v>14.3 m</c:v>
                </c:pt>
                <c:pt idx="144">
                  <c:v>14.4 m</c:v>
                </c:pt>
                <c:pt idx="145">
                  <c:v>14.5 m</c:v>
                </c:pt>
                <c:pt idx="146">
                  <c:v>14.6 m</c:v>
                </c:pt>
                <c:pt idx="147">
                  <c:v>14.7 m</c:v>
                </c:pt>
                <c:pt idx="148">
                  <c:v>14.8 m</c:v>
                </c:pt>
                <c:pt idx="149">
                  <c:v>14.9 m</c:v>
                </c:pt>
                <c:pt idx="150">
                  <c:v>15.0 m</c:v>
                </c:pt>
                <c:pt idx="151">
                  <c:v>15.1 m</c:v>
                </c:pt>
                <c:pt idx="152">
                  <c:v>15.2 m</c:v>
                </c:pt>
                <c:pt idx="153">
                  <c:v>15.3 m</c:v>
                </c:pt>
                <c:pt idx="154">
                  <c:v>15.4 m</c:v>
                </c:pt>
                <c:pt idx="155">
                  <c:v>15.5 m</c:v>
                </c:pt>
                <c:pt idx="156">
                  <c:v>15.6 m</c:v>
                </c:pt>
                <c:pt idx="157">
                  <c:v>15.7 m</c:v>
                </c:pt>
                <c:pt idx="158">
                  <c:v>15.8 m</c:v>
                </c:pt>
                <c:pt idx="159">
                  <c:v>15.9 m</c:v>
                </c:pt>
                <c:pt idx="160">
                  <c:v>16.0 m</c:v>
                </c:pt>
                <c:pt idx="161">
                  <c:v>16.1 m</c:v>
                </c:pt>
                <c:pt idx="162">
                  <c:v>16.2 m</c:v>
                </c:pt>
                <c:pt idx="163">
                  <c:v>16.3 m</c:v>
                </c:pt>
                <c:pt idx="164">
                  <c:v>16.4 m</c:v>
                </c:pt>
                <c:pt idx="165">
                  <c:v>16.5 m</c:v>
                </c:pt>
                <c:pt idx="166">
                  <c:v>16.6 m</c:v>
                </c:pt>
                <c:pt idx="167">
                  <c:v>16.7 m</c:v>
                </c:pt>
                <c:pt idx="168">
                  <c:v>16.8 m</c:v>
                </c:pt>
                <c:pt idx="169">
                  <c:v>16.9 m</c:v>
                </c:pt>
                <c:pt idx="170">
                  <c:v>17.0 m</c:v>
                </c:pt>
                <c:pt idx="171">
                  <c:v>17.1 m</c:v>
                </c:pt>
                <c:pt idx="172">
                  <c:v>17.2 m</c:v>
                </c:pt>
                <c:pt idx="173">
                  <c:v>17.3 m</c:v>
                </c:pt>
                <c:pt idx="174">
                  <c:v>17.4 m</c:v>
                </c:pt>
                <c:pt idx="175">
                  <c:v>17.5 m</c:v>
                </c:pt>
                <c:pt idx="176">
                  <c:v>17.6 m</c:v>
                </c:pt>
                <c:pt idx="177">
                  <c:v>17.7 m</c:v>
                </c:pt>
                <c:pt idx="178">
                  <c:v>17.8 m</c:v>
                </c:pt>
                <c:pt idx="179">
                  <c:v>17.9 m</c:v>
                </c:pt>
                <c:pt idx="180">
                  <c:v>18.0 m</c:v>
                </c:pt>
                <c:pt idx="181">
                  <c:v>18.1 m</c:v>
                </c:pt>
                <c:pt idx="182">
                  <c:v>18.2 m</c:v>
                </c:pt>
                <c:pt idx="183">
                  <c:v>18.3 m</c:v>
                </c:pt>
                <c:pt idx="184">
                  <c:v>18.4 m</c:v>
                </c:pt>
                <c:pt idx="185">
                  <c:v>18.5 m</c:v>
                </c:pt>
                <c:pt idx="186">
                  <c:v>18.6 m</c:v>
                </c:pt>
                <c:pt idx="187">
                  <c:v>18.7 m</c:v>
                </c:pt>
                <c:pt idx="188">
                  <c:v>18.8 m</c:v>
                </c:pt>
                <c:pt idx="189">
                  <c:v>18.9 m</c:v>
                </c:pt>
                <c:pt idx="190">
                  <c:v>19.0 m</c:v>
                </c:pt>
                <c:pt idx="191">
                  <c:v>19.1 m</c:v>
                </c:pt>
                <c:pt idx="192">
                  <c:v>19.2 m</c:v>
                </c:pt>
                <c:pt idx="193">
                  <c:v>19.3 m</c:v>
                </c:pt>
                <c:pt idx="194">
                  <c:v>19.4 m</c:v>
                </c:pt>
                <c:pt idx="195">
                  <c:v>19.5 m</c:v>
                </c:pt>
                <c:pt idx="196">
                  <c:v>19.6 m</c:v>
                </c:pt>
                <c:pt idx="197">
                  <c:v>19.7 m</c:v>
                </c:pt>
                <c:pt idx="198">
                  <c:v>19.8 m</c:v>
                </c:pt>
                <c:pt idx="199">
                  <c:v>19.9 m</c:v>
                </c:pt>
              </c:strCache>
            </c:strRef>
          </c:cat>
          <c:val>
            <c:numRef>
              <c:f>'Presiones vs Altura'!$F$16:$F$215</c:f>
              <c:numCache>
                <c:formatCode>0.00</c:formatCode>
                <c:ptCount val="200"/>
                <c:pt idx="0">
                  <c:v>51.001311280655663</c:v>
                </c:pt>
                <c:pt idx="1">
                  <c:v>51.001311280655663</c:v>
                </c:pt>
                <c:pt idx="2">
                  <c:v>51.001311280655663</c:v>
                </c:pt>
                <c:pt idx="3">
                  <c:v>51.001311280655663</c:v>
                </c:pt>
                <c:pt idx="4">
                  <c:v>51.001311280655663</c:v>
                </c:pt>
                <c:pt idx="5">
                  <c:v>51.001311280655663</c:v>
                </c:pt>
                <c:pt idx="6">
                  <c:v>51.001311280655663</c:v>
                </c:pt>
                <c:pt idx="7">
                  <c:v>51.001311280655663</c:v>
                </c:pt>
                <c:pt idx="8">
                  <c:v>51.001311280655663</c:v>
                </c:pt>
                <c:pt idx="9">
                  <c:v>51.001311280655663</c:v>
                </c:pt>
                <c:pt idx="10">
                  <c:v>51.001311280655663</c:v>
                </c:pt>
                <c:pt idx="11">
                  <c:v>51.001311280655663</c:v>
                </c:pt>
                <c:pt idx="12">
                  <c:v>51.001311280655663</c:v>
                </c:pt>
                <c:pt idx="13">
                  <c:v>51.001311280655663</c:v>
                </c:pt>
                <c:pt idx="14">
                  <c:v>51.001311280655663</c:v>
                </c:pt>
                <c:pt idx="15">
                  <c:v>51.001311280655663</c:v>
                </c:pt>
                <c:pt idx="16">
                  <c:v>51.001311280655663</c:v>
                </c:pt>
                <c:pt idx="17">
                  <c:v>51.001311280655663</c:v>
                </c:pt>
                <c:pt idx="18">
                  <c:v>51.001311280655663</c:v>
                </c:pt>
                <c:pt idx="19">
                  <c:v>51.001311280655663</c:v>
                </c:pt>
                <c:pt idx="20">
                  <c:v>51.001311280655663</c:v>
                </c:pt>
                <c:pt idx="21">
                  <c:v>51.001311280655663</c:v>
                </c:pt>
                <c:pt idx="22">
                  <c:v>51.001311280655663</c:v>
                </c:pt>
                <c:pt idx="23">
                  <c:v>51.001311280655663</c:v>
                </c:pt>
                <c:pt idx="24">
                  <c:v>51.001311280655663</c:v>
                </c:pt>
                <c:pt idx="25">
                  <c:v>51.001311280655663</c:v>
                </c:pt>
                <c:pt idx="26">
                  <c:v>51.001311280655663</c:v>
                </c:pt>
                <c:pt idx="27">
                  <c:v>51.001311280655663</c:v>
                </c:pt>
                <c:pt idx="28">
                  <c:v>51.001311280655663</c:v>
                </c:pt>
                <c:pt idx="29">
                  <c:v>51.001311280655663</c:v>
                </c:pt>
                <c:pt idx="30">
                  <c:v>51.001311280655663</c:v>
                </c:pt>
                <c:pt idx="31">
                  <c:v>51.001311280655663</c:v>
                </c:pt>
                <c:pt idx="32">
                  <c:v>51.001311280655663</c:v>
                </c:pt>
                <c:pt idx="33">
                  <c:v>51.001311280655663</c:v>
                </c:pt>
                <c:pt idx="34">
                  <c:v>51.001311280655663</c:v>
                </c:pt>
                <c:pt idx="35">
                  <c:v>51.001311280655663</c:v>
                </c:pt>
                <c:pt idx="36">
                  <c:v>51.001311280655663</c:v>
                </c:pt>
                <c:pt idx="37">
                  <c:v>51.001311280655663</c:v>
                </c:pt>
                <c:pt idx="38">
                  <c:v>51.001311280655663</c:v>
                </c:pt>
                <c:pt idx="39">
                  <c:v>51.001311280655663</c:v>
                </c:pt>
                <c:pt idx="40">
                  <c:v>51.001311280655663</c:v>
                </c:pt>
                <c:pt idx="41">
                  <c:v>51.001311280655663</c:v>
                </c:pt>
                <c:pt idx="42">
                  <c:v>51.001311280655663</c:v>
                </c:pt>
                <c:pt idx="43">
                  <c:v>51.001311280655663</c:v>
                </c:pt>
                <c:pt idx="44">
                  <c:v>51.001311280655663</c:v>
                </c:pt>
                <c:pt idx="45">
                  <c:v>51.001311280655663</c:v>
                </c:pt>
                <c:pt idx="46">
                  <c:v>51.001311280655663</c:v>
                </c:pt>
                <c:pt idx="47">
                  <c:v>51.001311280655663</c:v>
                </c:pt>
                <c:pt idx="48">
                  <c:v>51.001311280655663</c:v>
                </c:pt>
                <c:pt idx="49">
                  <c:v>51.001311280655663</c:v>
                </c:pt>
                <c:pt idx="50">
                  <c:v>51.001311280655663</c:v>
                </c:pt>
                <c:pt idx="51">
                  <c:v>51.001311280655663</c:v>
                </c:pt>
                <c:pt idx="52">
                  <c:v>51.001311280655663</c:v>
                </c:pt>
                <c:pt idx="53">
                  <c:v>51.001311280655663</c:v>
                </c:pt>
                <c:pt idx="54">
                  <c:v>51.001311280655663</c:v>
                </c:pt>
                <c:pt idx="55">
                  <c:v>51.001311280655663</c:v>
                </c:pt>
                <c:pt idx="56">
                  <c:v>51.001311280655663</c:v>
                </c:pt>
                <c:pt idx="57">
                  <c:v>51.001311280655663</c:v>
                </c:pt>
                <c:pt idx="58">
                  <c:v>51.001311280655663</c:v>
                </c:pt>
                <c:pt idx="59">
                  <c:v>51.001311280655663</c:v>
                </c:pt>
                <c:pt idx="60">
                  <c:v>51.001311280655663</c:v>
                </c:pt>
                <c:pt idx="61">
                  <c:v>51.001311280655663</c:v>
                </c:pt>
                <c:pt idx="62">
                  <c:v>51.001311280655663</c:v>
                </c:pt>
                <c:pt idx="63">
                  <c:v>51.001311280655663</c:v>
                </c:pt>
                <c:pt idx="64">
                  <c:v>51.001311280655663</c:v>
                </c:pt>
                <c:pt idx="65">
                  <c:v>51.001311280655663</c:v>
                </c:pt>
                <c:pt idx="66">
                  <c:v>51.001311280655663</c:v>
                </c:pt>
                <c:pt idx="67">
                  <c:v>51.001311280655663</c:v>
                </c:pt>
                <c:pt idx="68">
                  <c:v>51.001311280655663</c:v>
                </c:pt>
                <c:pt idx="69">
                  <c:v>51.001311280655663</c:v>
                </c:pt>
                <c:pt idx="70">
                  <c:v>51.001311280655663</c:v>
                </c:pt>
                <c:pt idx="71">
                  <c:v>51.001311280655663</c:v>
                </c:pt>
                <c:pt idx="72">
                  <c:v>51.001311280655663</c:v>
                </c:pt>
                <c:pt idx="73">
                  <c:v>51.001311280655663</c:v>
                </c:pt>
                <c:pt idx="74">
                  <c:v>51.001311280655663</c:v>
                </c:pt>
                <c:pt idx="75">
                  <c:v>51.001311280655663</c:v>
                </c:pt>
                <c:pt idx="76">
                  <c:v>51.001311280655663</c:v>
                </c:pt>
                <c:pt idx="77">
                  <c:v>51.001311280655663</c:v>
                </c:pt>
                <c:pt idx="78">
                  <c:v>51.001311280655663</c:v>
                </c:pt>
                <c:pt idx="79">
                  <c:v>51.001311280655663</c:v>
                </c:pt>
                <c:pt idx="80">
                  <c:v>51.001311280655663</c:v>
                </c:pt>
                <c:pt idx="81">
                  <c:v>51.001311280655663</c:v>
                </c:pt>
                <c:pt idx="82">
                  <c:v>51.001311280655663</c:v>
                </c:pt>
                <c:pt idx="83">
                  <c:v>51.001311280655663</c:v>
                </c:pt>
                <c:pt idx="84">
                  <c:v>51.001311280655663</c:v>
                </c:pt>
                <c:pt idx="85">
                  <c:v>51.001311280655663</c:v>
                </c:pt>
                <c:pt idx="86">
                  <c:v>51.001311280655663</c:v>
                </c:pt>
                <c:pt idx="87">
                  <c:v>51.001311280655663</c:v>
                </c:pt>
                <c:pt idx="88">
                  <c:v>51.001311280655663</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numCache>
            </c:numRef>
          </c:val>
          <c:extLst>
            <c:ext xmlns:c16="http://schemas.microsoft.com/office/drawing/2014/chart" uri="{C3380CC4-5D6E-409C-BE32-E72D297353CC}">
              <c16:uniqueId val="{00000000-AD1E-4BCC-9DFE-B10D794E99D9}"/>
            </c:ext>
          </c:extLst>
        </c:ser>
        <c:dLbls>
          <c:showLegendKey val="0"/>
          <c:showVal val="0"/>
          <c:showCatName val="0"/>
          <c:showSerName val="0"/>
          <c:showPercent val="0"/>
          <c:showBubbleSize val="0"/>
        </c:dLbls>
        <c:gapWidth val="2"/>
        <c:axId val="145723247"/>
        <c:axId val="145723727"/>
      </c:barChart>
      <c:catAx>
        <c:axId val="14572324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Altura z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5723727"/>
        <c:crosses val="autoZero"/>
        <c:auto val="1"/>
        <c:lblAlgn val="ctr"/>
        <c:lblOffset val="100"/>
        <c:tickLblSkip val="10"/>
        <c:noMultiLvlLbl val="0"/>
      </c:catAx>
      <c:valAx>
        <c:axId val="145723727"/>
        <c:scaling>
          <c:orientation val="maxMin"/>
          <c:min val="0"/>
        </c:scaling>
        <c:delete val="0"/>
        <c:axPos val="b"/>
        <c:majorGridlines>
          <c:spPr>
            <a:ln w="9525" cap="flat" cmpd="sng" algn="ctr">
              <a:solidFill>
                <a:srgbClr val="EEEEEE"/>
              </a:solidFill>
              <a:prstDash val="solid"/>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L"/>
                  <a:t>qz (kgf/m²)</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145723247"/>
        <c:crosses val="autoZero"/>
        <c:crossBetween val="between"/>
        <c:majorUnit val="1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1005340</xdr:colOff>
      <xdr:row>15</xdr:row>
      <xdr:rowOff>173182</xdr:rowOff>
    </xdr:from>
    <xdr:to>
      <xdr:col>13</xdr:col>
      <xdr:colOff>556367</xdr:colOff>
      <xdr:row>53</xdr:row>
      <xdr:rowOff>150237</xdr:rowOff>
    </xdr:to>
    <xdr:graphicFrame macro="">
      <xdr:nvGraphicFramePr>
        <xdr:cNvPr id="24" name="Diagrama Carga Viento">
          <a:extLst>
            <a:ext uri="{FF2B5EF4-FFF2-40B4-BE49-F238E27FC236}">
              <a16:creationId xmlns:a16="http://schemas.microsoft.com/office/drawing/2014/main" id="{D5FF4B6C-A5C4-A996-D3BA-3514B4866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6DC38A-17FD-463F-AFFD-DA3D886F50DB}">
  <we:reference id="WA200009404" version="1.0.0.8" store="Omex" storeType="OMEX"/>
  <we:alternateReferences>
    <we:reference id="WA200009404" version="1.0.0.8" store="WA200009404" storeType="OMEX"/>
  </we:alternateReferences>
  <we:properties>
    <we:property name="claude.fileId" value="&quot;05f7eaab-0c1e-467a-9686-1232bc38092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4F47-6B7D-4677-89AA-D2E4EAC284FE}">
  <dimension ref="A1:E43"/>
  <sheetViews>
    <sheetView workbookViewId="0">
      <pane ySplit="1" topLeftCell="A2" activePane="bottomLeft" state="frozen"/>
      <selection pane="bottomLeft" activeCell="C7" sqref="C7"/>
    </sheetView>
  </sheetViews>
  <sheetFormatPr baseColWidth="10" defaultRowHeight="14.25"/>
  <cols>
    <col min="1" max="1" width="35.53125" customWidth="1"/>
    <col min="2" max="2" width="14.19921875" customWidth="1"/>
    <col min="3" max="3" width="17.796875" customWidth="1"/>
    <col min="4" max="4" width="12.46484375" customWidth="1"/>
    <col min="5" max="5" width="60.46484375" customWidth="1"/>
  </cols>
  <sheetData>
    <row r="1" spans="1:5" ht="35" customHeight="1">
      <c r="A1" s="228" t="s">
        <v>129</v>
      </c>
      <c r="B1" s="228"/>
      <c r="C1" s="228"/>
      <c r="D1" s="228"/>
      <c r="E1" s="228"/>
    </row>
    <row r="2" spans="1:5">
      <c r="A2" s="229" t="str">
        <f>"Galpón industrial - "&amp;IF(C10=1,"Techo a 1 agua","Techo a 2 aguas")&amp;" - Edificio cerrado"</f>
        <v>Galpón industrial - Techo a 2 aguas - Edificio cerrado</v>
      </c>
      <c r="B2" s="229"/>
      <c r="C2" s="229"/>
      <c r="D2" s="229"/>
      <c r="E2" s="229"/>
    </row>
    <row r="4" spans="1:5" ht="26" customHeight="1">
      <c r="A4" s="230" t="s">
        <v>130</v>
      </c>
      <c r="B4" s="230"/>
      <c r="C4" s="230"/>
      <c r="D4" s="230"/>
      <c r="E4" s="230"/>
    </row>
    <row r="5" spans="1:5">
      <c r="A5" s="146" t="s">
        <v>37</v>
      </c>
      <c r="B5" s="146" t="s">
        <v>38</v>
      </c>
      <c r="C5" s="146" t="s">
        <v>39</v>
      </c>
      <c r="D5" s="146" t="s">
        <v>40</v>
      </c>
      <c r="E5" s="147" t="s">
        <v>131</v>
      </c>
    </row>
    <row r="6" spans="1:5">
      <c r="A6" s="148" t="s">
        <v>41</v>
      </c>
      <c r="B6" s="149" t="s">
        <v>1</v>
      </c>
      <c r="C6" s="155">
        <v>83.5</v>
      </c>
      <c r="D6" s="150" t="s">
        <v>34</v>
      </c>
      <c r="E6" s="162" t="s">
        <v>184</v>
      </c>
    </row>
    <row r="7" spans="1:5">
      <c r="A7" s="148" t="s">
        <v>42</v>
      </c>
      <c r="B7" s="149" t="s">
        <v>33</v>
      </c>
      <c r="C7" s="155">
        <v>50</v>
      </c>
      <c r="D7" s="150" t="s">
        <v>34</v>
      </c>
      <c r="E7" s="162" t="s">
        <v>185</v>
      </c>
    </row>
    <row r="8" spans="1:5">
      <c r="A8" s="148" t="s">
        <v>43</v>
      </c>
      <c r="B8" s="149" t="s">
        <v>44</v>
      </c>
      <c r="C8" s="155">
        <v>7.53</v>
      </c>
      <c r="D8" s="150" t="s">
        <v>34</v>
      </c>
      <c r="E8" s="162" t="s">
        <v>186</v>
      </c>
    </row>
    <row r="9" spans="1:5">
      <c r="A9" s="148" t="s">
        <v>45</v>
      </c>
      <c r="B9" s="149" t="s">
        <v>132</v>
      </c>
      <c r="C9" s="155">
        <v>8.85</v>
      </c>
      <c r="D9" s="150" t="s">
        <v>34</v>
      </c>
      <c r="E9" s="162" t="s">
        <v>187</v>
      </c>
    </row>
    <row r="10" spans="1:5">
      <c r="A10" s="177" t="s">
        <v>411</v>
      </c>
      <c r="B10" s="178" t="s">
        <v>412</v>
      </c>
      <c r="C10" s="179">
        <v>2</v>
      </c>
      <c r="D10" s="180" t="s">
        <v>89</v>
      </c>
      <c r="E10" s="181" t="s">
        <v>413</v>
      </c>
    </row>
    <row r="11" spans="1:5">
      <c r="A11" s="148" t="s">
        <v>54</v>
      </c>
      <c r="B11" s="149" t="s">
        <v>0</v>
      </c>
      <c r="C11" s="160">
        <f>(C8+C9)/2</f>
        <v>8.19</v>
      </c>
      <c r="D11" s="150" t="s">
        <v>34</v>
      </c>
      <c r="E11" s="151" t="s">
        <v>188</v>
      </c>
    </row>
    <row r="12" spans="1:5">
      <c r="A12" s="148" t="s">
        <v>133</v>
      </c>
      <c r="B12" s="149" t="s">
        <v>55</v>
      </c>
      <c r="C12" s="160">
        <f>DEGREES(ATAN((C9-C8)/(C7/2)))</f>
        <v>3.0224105775750649</v>
      </c>
      <c r="D12" s="150" t="s">
        <v>56</v>
      </c>
      <c r="E12" s="151" t="s">
        <v>189</v>
      </c>
    </row>
    <row r="13" spans="1:5">
      <c r="A13" s="148" t="s">
        <v>134</v>
      </c>
      <c r="B13" s="149" t="s">
        <v>2</v>
      </c>
      <c r="C13" s="161">
        <f>C11/C6</f>
        <v>9.808383233532933E-2</v>
      </c>
      <c r="D13" s="150" t="s">
        <v>89</v>
      </c>
      <c r="E13" s="151" t="s">
        <v>190</v>
      </c>
    </row>
    <row r="14" spans="1:5">
      <c r="A14" s="148" t="s">
        <v>135</v>
      </c>
      <c r="B14" s="149" t="s">
        <v>57</v>
      </c>
      <c r="C14" s="161">
        <f>C11/C7</f>
        <v>0.1638</v>
      </c>
      <c r="D14" s="150" t="s">
        <v>89</v>
      </c>
      <c r="E14" s="151" t="s">
        <v>191</v>
      </c>
    </row>
    <row r="15" spans="1:5">
      <c r="A15" s="43"/>
      <c r="E15" s="181"/>
    </row>
    <row r="16" spans="1:5" ht="26" customHeight="1">
      <c r="A16" s="230" t="s">
        <v>136</v>
      </c>
      <c r="B16" s="230"/>
      <c r="C16" s="230"/>
      <c r="D16" s="230"/>
      <c r="E16" s="231"/>
    </row>
    <row r="17" spans="1:5">
      <c r="A17" s="146" t="s">
        <v>37</v>
      </c>
      <c r="B17" s="154" t="s">
        <v>38</v>
      </c>
      <c r="C17" s="146" t="s">
        <v>39</v>
      </c>
      <c r="D17" s="146" t="s">
        <v>40</v>
      </c>
      <c r="E17" s="147" t="s">
        <v>131</v>
      </c>
    </row>
    <row r="18" spans="1:5">
      <c r="A18" s="148" t="s">
        <v>137</v>
      </c>
      <c r="B18" s="149" t="s">
        <v>46</v>
      </c>
      <c r="C18" s="155">
        <v>34</v>
      </c>
      <c r="D18" s="150" t="s">
        <v>47</v>
      </c>
      <c r="E18" s="151" t="s">
        <v>138</v>
      </c>
    </row>
    <row r="19" spans="1:5">
      <c r="A19" s="148" t="s">
        <v>139</v>
      </c>
      <c r="B19" s="149" t="s">
        <v>140</v>
      </c>
      <c r="C19" s="156" t="s">
        <v>141</v>
      </c>
      <c r="D19" s="150" t="s">
        <v>89</v>
      </c>
      <c r="E19" s="151" t="s">
        <v>142</v>
      </c>
    </row>
    <row r="20" spans="1:5">
      <c r="A20" s="148" t="s">
        <v>143</v>
      </c>
      <c r="B20" s="149" t="s">
        <v>144</v>
      </c>
      <c r="C20" s="155">
        <v>1</v>
      </c>
      <c r="D20" s="150" t="s">
        <v>89</v>
      </c>
      <c r="E20" s="151" t="s">
        <v>145</v>
      </c>
    </row>
    <row r="21" spans="1:5">
      <c r="A21" s="148" t="s">
        <v>48</v>
      </c>
      <c r="B21" s="149" t="s">
        <v>127</v>
      </c>
      <c r="C21" s="155">
        <v>0.85</v>
      </c>
      <c r="D21" s="150" t="s">
        <v>89</v>
      </c>
      <c r="E21" s="151" t="s">
        <v>146</v>
      </c>
    </row>
    <row r="22" spans="1:5">
      <c r="A22" s="148" t="s">
        <v>49</v>
      </c>
      <c r="B22" s="149" t="s">
        <v>147</v>
      </c>
      <c r="C22" s="155">
        <v>1</v>
      </c>
      <c r="D22" s="150" t="s">
        <v>89</v>
      </c>
      <c r="E22" s="151" t="s">
        <v>148</v>
      </c>
    </row>
    <row r="23" spans="1:5">
      <c r="A23" s="148" t="s">
        <v>50</v>
      </c>
      <c r="B23" s="149" t="s">
        <v>149</v>
      </c>
      <c r="C23" s="155">
        <v>1</v>
      </c>
      <c r="D23" s="150" t="s">
        <v>89</v>
      </c>
      <c r="E23" s="151" t="s">
        <v>150</v>
      </c>
    </row>
    <row r="24" spans="1:5">
      <c r="A24" s="148" t="s">
        <v>151</v>
      </c>
      <c r="B24" s="149" t="s">
        <v>51</v>
      </c>
      <c r="C24" s="155">
        <v>0.85</v>
      </c>
      <c r="D24" s="150" t="s">
        <v>89</v>
      </c>
      <c r="E24" s="151" t="s">
        <v>152</v>
      </c>
    </row>
    <row r="25" spans="1:5">
      <c r="A25" s="148" t="s">
        <v>153</v>
      </c>
      <c r="B25" s="149" t="s">
        <v>52</v>
      </c>
      <c r="C25" s="156" t="s">
        <v>33</v>
      </c>
      <c r="D25" s="150" t="s">
        <v>89</v>
      </c>
      <c r="E25" s="151" t="s">
        <v>154</v>
      </c>
    </row>
    <row r="26" spans="1:5">
      <c r="A26" s="148" t="s">
        <v>155</v>
      </c>
      <c r="B26" s="149" t="s">
        <v>53</v>
      </c>
      <c r="C26" s="156" t="s">
        <v>156</v>
      </c>
      <c r="D26" s="150" t="s">
        <v>89</v>
      </c>
      <c r="E26" s="151" t="s">
        <v>157</v>
      </c>
    </row>
    <row r="27" spans="1:5">
      <c r="E27" s="126"/>
    </row>
    <row r="28" spans="1:5" ht="26" customHeight="1">
      <c r="A28" s="230" t="s">
        <v>158</v>
      </c>
      <c r="B28" s="230"/>
      <c r="C28" s="230"/>
      <c r="D28" s="230"/>
      <c r="E28" s="231"/>
    </row>
    <row r="29" spans="1:5">
      <c r="A29" s="146" t="s">
        <v>159</v>
      </c>
      <c r="B29" s="154" t="s">
        <v>160</v>
      </c>
      <c r="C29" s="146" t="s">
        <v>161</v>
      </c>
      <c r="D29" s="146" t="s">
        <v>162</v>
      </c>
      <c r="E29" s="147" t="s">
        <v>101</v>
      </c>
    </row>
    <row r="30" spans="1:5">
      <c r="A30" s="157" t="s">
        <v>33</v>
      </c>
      <c r="B30" s="158">
        <v>7.5</v>
      </c>
      <c r="C30" s="158">
        <v>1000</v>
      </c>
      <c r="D30" s="158">
        <v>10</v>
      </c>
      <c r="E30" s="151" t="s">
        <v>163</v>
      </c>
    </row>
    <row r="31" spans="1:5">
      <c r="A31" s="157" t="s">
        <v>164</v>
      </c>
      <c r="B31" s="158">
        <v>9.8000000000000007</v>
      </c>
      <c r="C31" s="158">
        <v>750</v>
      </c>
      <c r="D31" s="158">
        <v>5</v>
      </c>
      <c r="E31" s="151" t="s">
        <v>165</v>
      </c>
    </row>
    <row r="32" spans="1:5">
      <c r="A32" s="157" t="s">
        <v>166</v>
      </c>
      <c r="B32" s="158">
        <v>11.5</v>
      </c>
      <c r="C32" s="158">
        <v>590</v>
      </c>
      <c r="D32" s="158">
        <v>2</v>
      </c>
      <c r="E32" s="151" t="s">
        <v>167</v>
      </c>
    </row>
    <row r="33" spans="1:5">
      <c r="A33" s="157" t="s">
        <v>168</v>
      </c>
      <c r="B33" s="149" t="s">
        <v>160</v>
      </c>
      <c r="C33" s="152">
        <f>IF(C25="B",B30,IF(C25="C",B31,IF(C25="D",B32,"")))</f>
        <v>7.5</v>
      </c>
      <c r="D33" s="150" t="s">
        <v>89</v>
      </c>
      <c r="E33" s="151" t="s">
        <v>169</v>
      </c>
    </row>
    <row r="34" spans="1:5">
      <c r="A34" s="157" t="s">
        <v>170</v>
      </c>
      <c r="B34" s="149" t="s">
        <v>171</v>
      </c>
      <c r="C34" s="152">
        <f>IF(C25="B",C30,IF(C25="C",C31,IF(C25="D",C32,"")))</f>
        <v>1000</v>
      </c>
      <c r="D34" s="150" t="s">
        <v>34</v>
      </c>
      <c r="E34" s="151" t="s">
        <v>172</v>
      </c>
    </row>
    <row r="35" spans="1:5">
      <c r="A35" s="157" t="s">
        <v>173</v>
      </c>
      <c r="B35" s="149" t="s">
        <v>174</v>
      </c>
      <c r="C35" s="152">
        <f>IF(C25="B",D30,IF(C25="C",D31,IF(C25="D",D32,"")))</f>
        <v>10</v>
      </c>
      <c r="D35" s="150" t="s">
        <v>34</v>
      </c>
      <c r="E35" s="151" t="s">
        <v>175</v>
      </c>
    </row>
    <row r="36" spans="1:5">
      <c r="E36" s="126"/>
    </row>
    <row r="37" spans="1:5" ht="26" customHeight="1">
      <c r="A37" s="230" t="s">
        <v>176</v>
      </c>
      <c r="B37" s="230"/>
      <c r="C37" s="230"/>
      <c r="D37" s="230"/>
      <c r="E37" s="231"/>
    </row>
    <row r="38" spans="1:5">
      <c r="A38" s="146" t="s">
        <v>37</v>
      </c>
      <c r="B38" s="154" t="s">
        <v>38</v>
      </c>
      <c r="C38" s="146" t="s">
        <v>39</v>
      </c>
      <c r="D38" s="146" t="s">
        <v>40</v>
      </c>
      <c r="E38" s="147" t="s">
        <v>131</v>
      </c>
    </row>
    <row r="39" spans="1:5">
      <c r="A39" s="148" t="s">
        <v>177</v>
      </c>
      <c r="B39" s="149" t="s">
        <v>178</v>
      </c>
      <c r="C39" s="153">
        <f>2.41*(MAX(C11,C35)/C34)^(2/C33)</f>
        <v>0.70580334007468215</v>
      </c>
      <c r="D39" s="150" t="s">
        <v>89</v>
      </c>
      <c r="E39" s="151" t="s">
        <v>179</v>
      </c>
    </row>
    <row r="40" spans="1:5">
      <c r="A40" s="148" t="s">
        <v>180</v>
      </c>
      <c r="B40" s="149" t="s">
        <v>76</v>
      </c>
      <c r="C40" s="152">
        <f>0.613*C20*C39*C22*C23*C18^2</f>
        <v>500.15200927044185</v>
      </c>
      <c r="D40" s="150" t="s">
        <v>102</v>
      </c>
      <c r="E40" s="151" t="s">
        <v>181</v>
      </c>
    </row>
    <row r="41" spans="1:5">
      <c r="A41" s="148" t="s">
        <v>180</v>
      </c>
      <c r="B41" s="149" t="s">
        <v>76</v>
      </c>
      <c r="C41" s="159">
        <f>C40/9.80665</f>
        <v>51.001311280655663</v>
      </c>
      <c r="D41" s="150" t="s">
        <v>103</v>
      </c>
      <c r="E41" s="151" t="s">
        <v>182</v>
      </c>
    </row>
    <row r="42" spans="1:5">
      <c r="E42" s="126"/>
    </row>
    <row r="43" spans="1:5" ht="40.049999999999997" customHeight="1">
      <c r="A43" s="227" t="s">
        <v>183</v>
      </c>
      <c r="B43" s="227"/>
      <c r="C43" s="227"/>
      <c r="D43" s="227"/>
      <c r="E43" s="227"/>
    </row>
  </sheetData>
  <mergeCells count="7">
    <mergeCell ref="A43:E43"/>
    <mergeCell ref="A1:E1"/>
    <mergeCell ref="A2:E2"/>
    <mergeCell ref="A4:E4"/>
    <mergeCell ref="A16:E16"/>
    <mergeCell ref="A28:E28"/>
    <mergeCell ref="A37:E37"/>
  </mergeCells>
  <dataValidations count="1">
    <dataValidation type="list" allowBlank="1" showInputMessage="1" showErrorMessage="1" sqref="C10" xr:uid="{BEA4AF6F-25FF-4727-B668-5608FC26133A}">
      <formula1>"1,2"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6E53-46A0-4211-91BB-894B46409EF4}">
  <dimension ref="A1:X215"/>
  <sheetViews>
    <sheetView zoomScale="70" zoomScaleNormal="70" workbookViewId="0">
      <selection activeCell="A216" sqref="A216"/>
    </sheetView>
  </sheetViews>
  <sheetFormatPr baseColWidth="10" defaultRowHeight="14.25"/>
  <cols>
    <col min="1" max="1" width="20.6640625" bestFit="1" customWidth="1"/>
    <col min="2" max="2" width="12.46484375" customWidth="1"/>
    <col min="3" max="3" width="14.19921875" customWidth="1"/>
    <col min="4" max="4" width="13.33203125" customWidth="1"/>
    <col min="5" max="6" width="12.46484375" customWidth="1"/>
    <col min="7" max="7" width="19.53125" customWidth="1"/>
    <col min="8" max="8" width="10.6640625" customWidth="1"/>
    <col min="10" max="12" width="9.796875" customWidth="1"/>
    <col min="14" max="15" width="11.53125" style="172" customWidth="1"/>
    <col min="16" max="17" width="9.796875" customWidth="1"/>
    <col min="18" max="18" width="8.86328125" style="168" customWidth="1"/>
    <col min="19" max="20" width="11.53125" style="171" customWidth="1"/>
    <col min="21" max="24" width="8.86328125" style="173" customWidth="1"/>
  </cols>
  <sheetData>
    <row r="1" spans="1:24" ht="17.25">
      <c r="A1" s="232" t="s">
        <v>193</v>
      </c>
      <c r="B1" s="232"/>
      <c r="C1" s="232"/>
      <c r="D1" s="232"/>
      <c r="E1" s="232"/>
      <c r="F1" s="232"/>
      <c r="G1" s="232"/>
      <c r="H1" s="232"/>
    </row>
    <row r="2" spans="1:24">
      <c r="A2" s="233" t="s">
        <v>194</v>
      </c>
      <c r="B2" s="233"/>
      <c r="C2" s="233"/>
      <c r="D2" s="233"/>
      <c r="E2" s="233"/>
      <c r="F2" s="233"/>
      <c r="G2" s="233"/>
      <c r="H2" s="233"/>
    </row>
    <row r="4" spans="1:24">
      <c r="A4" s="234" t="s">
        <v>201</v>
      </c>
      <c r="B4" s="234"/>
      <c r="C4" s="234"/>
    </row>
    <row r="5" spans="1:24">
      <c r="A5" s="164" t="s">
        <v>202</v>
      </c>
      <c r="B5" s="165">
        <f>'Presión de Viento'!C9</f>
        <v>8.85</v>
      </c>
      <c r="C5" s="169" t="s">
        <v>203</v>
      </c>
    </row>
    <row r="6" spans="1:24">
      <c r="A6" s="164" t="s">
        <v>195</v>
      </c>
      <c r="B6" s="165">
        <f>'Presión de Viento'!C8</f>
        <v>7.53</v>
      </c>
      <c r="C6" s="170" t="s">
        <v>204</v>
      </c>
    </row>
    <row r="7" spans="1:24">
      <c r="A7" s="164" t="s">
        <v>205</v>
      </c>
      <c r="B7" s="165">
        <f>'Presión de Viento'!C18</f>
        <v>34</v>
      </c>
      <c r="C7" s="129" t="s">
        <v>47</v>
      </c>
    </row>
    <row r="8" spans="1:24">
      <c r="A8" s="164" t="s">
        <v>206</v>
      </c>
      <c r="B8" s="165">
        <f>'Presión de Viento'!C20</f>
        <v>1</v>
      </c>
      <c r="C8" s="165">
        <f>'Presión de Viento'!C21</f>
        <v>0.85</v>
      </c>
      <c r="D8" s="165">
        <f>'Presión de Viento'!C22</f>
        <v>1</v>
      </c>
      <c r="E8" s="165">
        <f>'Presión de Viento'!C23</f>
        <v>1</v>
      </c>
      <c r="F8" s="165">
        <f>'Presión de Viento'!C24</f>
        <v>0.85</v>
      </c>
    </row>
    <row r="9" spans="1:24">
      <c r="A9" s="164" t="s">
        <v>207</v>
      </c>
      <c r="B9" s="165">
        <f>'Presión de Viento'!C33</f>
        <v>7.5</v>
      </c>
      <c r="C9" s="165">
        <f>'Presión de Viento'!C34</f>
        <v>1000</v>
      </c>
      <c r="D9" s="165">
        <f>'Presión de Viento'!C35</f>
        <v>10</v>
      </c>
    </row>
    <row r="10" spans="1:24">
      <c r="A10" s="164" t="s">
        <v>208</v>
      </c>
      <c r="B10" s="165">
        <f>'Presión de Viento'!C41</f>
        <v>51.001311280655663</v>
      </c>
      <c r="C10" s="130" t="s">
        <v>209</v>
      </c>
    </row>
    <row r="11" spans="1:24">
      <c r="A11" s="164" t="s">
        <v>196</v>
      </c>
      <c r="B11" s="165">
        <f>'Resumen Cp'!C17</f>
        <v>0.8</v>
      </c>
    </row>
    <row r="12" spans="1:24" ht="32" customHeight="1">
      <c r="A12" s="235" t="s">
        <v>210</v>
      </c>
      <c r="B12" s="236"/>
      <c r="C12" s="236"/>
      <c r="D12" s="236"/>
      <c r="E12" s="236"/>
      <c r="F12" s="236"/>
      <c r="G12" s="236"/>
      <c r="H12" s="236"/>
    </row>
    <row r="13" spans="1:24">
      <c r="A13" s="164" t="s">
        <v>197</v>
      </c>
      <c r="B13" s="165">
        <f>'Resumen Cp'!C19</f>
        <v>-0.7</v>
      </c>
    </row>
    <row r="15" spans="1:24" s="126" customFormat="1" ht="22.05" customHeight="1">
      <c r="A15" s="29" t="s">
        <v>198</v>
      </c>
      <c r="B15" s="29" t="s">
        <v>199</v>
      </c>
      <c r="C15" s="29" t="s">
        <v>200</v>
      </c>
      <c r="D15"/>
      <c r="E15" s="174" t="s">
        <v>198</v>
      </c>
      <c r="F15" s="174" t="s">
        <v>75</v>
      </c>
      <c r="G15"/>
      <c r="H15"/>
      <c r="I15"/>
      <c r="J15"/>
      <c r="K15"/>
      <c r="L15"/>
      <c r="M15"/>
      <c r="N15"/>
      <c r="O15"/>
      <c r="P15"/>
      <c r="Q15"/>
      <c r="R15"/>
      <c r="S15"/>
      <c r="T15"/>
      <c r="U15"/>
      <c r="V15"/>
      <c r="W15"/>
      <c r="X15"/>
    </row>
    <row r="16" spans="1:24">
      <c r="A16" s="166">
        <f>IF((ROW()-16)*0.1&gt;'Presión de Viento'!$C$9,"",(ROW()-16)*0.1)</f>
        <v>0</v>
      </c>
      <c r="B16" s="167">
        <f>IF(A16="","",2.41*(MAX(A16,'Presión de Viento'!$C$35)/'Presión de Viento'!$C$34)^(2/'Presión de Viento'!$C$33))</f>
        <v>0.70580334007468215</v>
      </c>
      <c r="C16" s="166">
        <f>IF(A16="","",0.613*'Presión de Viento'!$C$20*B16*'Presión de Viento'!$C$22*'Presión de Viento'!$C$23*'Presión de Viento'!$C$18^2/9.80665)</f>
        <v>51.001311280655663</v>
      </c>
      <c r="E16" s="176" t="s">
        <v>211</v>
      </c>
      <c r="F16" s="175">
        <f>IF(A16="",0,C16)</f>
        <v>51.001311280655663</v>
      </c>
      <c r="N16"/>
      <c r="O16"/>
      <c r="R16"/>
      <c r="S16"/>
      <c r="T16"/>
      <c r="U16"/>
      <c r="V16"/>
      <c r="W16"/>
      <c r="X16"/>
    </row>
    <row r="17" spans="1:24">
      <c r="A17" s="166">
        <f>IF((ROW()-16)*0.1&gt;'Presión de Viento'!$C$9,"",(ROW()-16)*0.1)</f>
        <v>0.1</v>
      </c>
      <c r="B17" s="167">
        <f>IF(A17="","",2.41*(MAX(A17,'Presión de Viento'!$C$35)/'Presión de Viento'!$C$34)^(2/'Presión de Viento'!$C$33))</f>
        <v>0.70580334007468215</v>
      </c>
      <c r="C17" s="166">
        <f>IF(A17="","",0.613*'Presión de Viento'!$C$20*B17*'Presión de Viento'!$C$22*'Presión de Viento'!$C$23*'Presión de Viento'!$C$18^2/9.80665)</f>
        <v>51.001311280655663</v>
      </c>
      <c r="E17" s="176" t="s">
        <v>212</v>
      </c>
      <c r="F17" s="175">
        <f t="shared" ref="F17:F80" si="0">IF(A17="",0,C17)</f>
        <v>51.001311280655663</v>
      </c>
      <c r="N17"/>
      <c r="O17"/>
      <c r="R17"/>
      <c r="S17"/>
      <c r="T17"/>
      <c r="U17"/>
      <c r="V17"/>
      <c r="W17"/>
      <c r="X17"/>
    </row>
    <row r="18" spans="1:24">
      <c r="A18" s="166">
        <f>IF((ROW()-16)*0.1&gt;'Presión de Viento'!$C$9,"",(ROW()-16)*0.1)</f>
        <v>0.2</v>
      </c>
      <c r="B18" s="167">
        <f>IF(A18="","",2.41*(MAX(A18,'Presión de Viento'!$C$35)/'Presión de Viento'!$C$34)^(2/'Presión de Viento'!$C$33))</f>
        <v>0.70580334007468215</v>
      </c>
      <c r="C18" s="166">
        <f>IF(A18="","",0.613*'Presión de Viento'!$C$20*B18*'Presión de Viento'!$C$22*'Presión de Viento'!$C$23*'Presión de Viento'!$C$18^2/9.80665)</f>
        <v>51.001311280655663</v>
      </c>
      <c r="E18" s="176" t="s">
        <v>213</v>
      </c>
      <c r="F18" s="175">
        <f t="shared" si="0"/>
        <v>51.001311280655663</v>
      </c>
      <c r="N18"/>
      <c r="O18"/>
      <c r="R18"/>
      <c r="S18"/>
      <c r="T18"/>
      <c r="U18"/>
      <c r="V18"/>
      <c r="W18"/>
      <c r="X18"/>
    </row>
    <row r="19" spans="1:24">
      <c r="A19" s="166">
        <f>IF((ROW()-16)*0.1&gt;'Presión de Viento'!$C$9,"",(ROW()-16)*0.1)</f>
        <v>0.30000000000000004</v>
      </c>
      <c r="B19" s="167">
        <f>IF(A19="","",2.41*(MAX(A19,'Presión de Viento'!$C$35)/'Presión de Viento'!$C$34)^(2/'Presión de Viento'!$C$33))</f>
        <v>0.70580334007468215</v>
      </c>
      <c r="C19" s="166">
        <f>IF(A19="","",0.613*'Presión de Viento'!$C$20*B19*'Presión de Viento'!$C$22*'Presión de Viento'!$C$23*'Presión de Viento'!$C$18^2/9.80665)</f>
        <v>51.001311280655663</v>
      </c>
      <c r="E19" s="176" t="s">
        <v>214</v>
      </c>
      <c r="F19" s="175">
        <f t="shared" si="0"/>
        <v>51.001311280655663</v>
      </c>
      <c r="N19"/>
      <c r="O19"/>
      <c r="R19"/>
      <c r="S19"/>
      <c r="T19"/>
      <c r="U19"/>
      <c r="V19"/>
      <c r="W19"/>
      <c r="X19"/>
    </row>
    <row r="20" spans="1:24">
      <c r="A20" s="166">
        <f>IF((ROW()-16)*0.1&gt;'Presión de Viento'!$C$9,"",(ROW()-16)*0.1)</f>
        <v>0.4</v>
      </c>
      <c r="B20" s="167">
        <f>IF(A20="","",2.41*(MAX(A20,'Presión de Viento'!$C$35)/'Presión de Viento'!$C$34)^(2/'Presión de Viento'!$C$33))</f>
        <v>0.70580334007468215</v>
      </c>
      <c r="C20" s="166">
        <f>IF(A20="","",0.613*'Presión de Viento'!$C$20*B20*'Presión de Viento'!$C$22*'Presión de Viento'!$C$23*'Presión de Viento'!$C$18^2/9.80665)</f>
        <v>51.001311280655663</v>
      </c>
      <c r="E20" s="176" t="s">
        <v>215</v>
      </c>
      <c r="F20" s="175">
        <f t="shared" si="0"/>
        <v>51.001311280655663</v>
      </c>
      <c r="N20"/>
      <c r="O20"/>
      <c r="R20"/>
      <c r="S20"/>
      <c r="T20"/>
      <c r="U20"/>
      <c r="V20"/>
      <c r="W20"/>
      <c r="X20"/>
    </row>
    <row r="21" spans="1:24">
      <c r="A21" s="166">
        <f>IF((ROW()-16)*0.1&gt;'Presión de Viento'!$C$9,"",(ROW()-16)*0.1)</f>
        <v>0.5</v>
      </c>
      <c r="B21" s="167">
        <f>IF(A21="","",2.41*(MAX(A21,'Presión de Viento'!$C$35)/'Presión de Viento'!$C$34)^(2/'Presión de Viento'!$C$33))</f>
        <v>0.70580334007468215</v>
      </c>
      <c r="C21" s="166">
        <f>IF(A21="","",0.613*'Presión de Viento'!$C$20*B21*'Presión de Viento'!$C$22*'Presión de Viento'!$C$23*'Presión de Viento'!$C$18^2/9.80665)</f>
        <v>51.001311280655663</v>
      </c>
      <c r="E21" s="176" t="s">
        <v>216</v>
      </c>
      <c r="F21" s="175">
        <f t="shared" si="0"/>
        <v>51.001311280655663</v>
      </c>
      <c r="N21"/>
      <c r="O21"/>
      <c r="R21"/>
      <c r="S21"/>
      <c r="T21"/>
      <c r="U21"/>
      <c r="V21"/>
      <c r="W21"/>
      <c r="X21"/>
    </row>
    <row r="22" spans="1:24">
      <c r="A22" s="166">
        <f>IF((ROW()-16)*0.1&gt;'Presión de Viento'!$C$9,"",(ROW()-16)*0.1)</f>
        <v>0.60000000000000009</v>
      </c>
      <c r="B22" s="167">
        <f>IF(A22="","",2.41*(MAX(A22,'Presión de Viento'!$C$35)/'Presión de Viento'!$C$34)^(2/'Presión de Viento'!$C$33))</f>
        <v>0.70580334007468215</v>
      </c>
      <c r="C22" s="166">
        <f>IF(A22="","",0.613*'Presión de Viento'!$C$20*B22*'Presión de Viento'!$C$22*'Presión de Viento'!$C$23*'Presión de Viento'!$C$18^2/9.80665)</f>
        <v>51.001311280655663</v>
      </c>
      <c r="E22" s="176" t="s">
        <v>217</v>
      </c>
      <c r="F22" s="175">
        <f t="shared" si="0"/>
        <v>51.001311280655663</v>
      </c>
      <c r="N22"/>
      <c r="O22"/>
      <c r="R22"/>
      <c r="S22"/>
      <c r="T22"/>
      <c r="U22"/>
      <c r="V22"/>
      <c r="W22"/>
      <c r="X22"/>
    </row>
    <row r="23" spans="1:24">
      <c r="A23" s="166">
        <f>IF((ROW()-16)*0.1&gt;'Presión de Viento'!$C$9,"",(ROW()-16)*0.1)</f>
        <v>0.70000000000000007</v>
      </c>
      <c r="B23" s="167">
        <f>IF(A23="","",2.41*(MAX(A23,'Presión de Viento'!$C$35)/'Presión de Viento'!$C$34)^(2/'Presión de Viento'!$C$33))</f>
        <v>0.70580334007468215</v>
      </c>
      <c r="C23" s="166">
        <f>IF(A23="","",0.613*'Presión de Viento'!$C$20*B23*'Presión de Viento'!$C$22*'Presión de Viento'!$C$23*'Presión de Viento'!$C$18^2/9.80665)</f>
        <v>51.001311280655663</v>
      </c>
      <c r="E23" s="176" t="s">
        <v>218</v>
      </c>
      <c r="F23" s="175">
        <f t="shared" si="0"/>
        <v>51.001311280655663</v>
      </c>
      <c r="N23"/>
      <c r="O23"/>
      <c r="R23"/>
      <c r="S23"/>
      <c r="T23"/>
      <c r="U23"/>
      <c r="V23"/>
      <c r="W23"/>
      <c r="X23"/>
    </row>
    <row r="24" spans="1:24">
      <c r="A24" s="166">
        <f>IF((ROW()-16)*0.1&gt;'Presión de Viento'!$C$9,"",(ROW()-16)*0.1)</f>
        <v>0.8</v>
      </c>
      <c r="B24" s="167">
        <f>IF(A24="","",2.41*(MAX(A24,'Presión de Viento'!$C$35)/'Presión de Viento'!$C$34)^(2/'Presión de Viento'!$C$33))</f>
        <v>0.70580334007468215</v>
      </c>
      <c r="C24" s="166">
        <f>IF(A24="","",0.613*'Presión de Viento'!$C$20*B24*'Presión de Viento'!$C$22*'Presión de Viento'!$C$23*'Presión de Viento'!$C$18^2/9.80665)</f>
        <v>51.001311280655663</v>
      </c>
      <c r="E24" s="176" t="s">
        <v>219</v>
      </c>
      <c r="F24" s="175">
        <f t="shared" si="0"/>
        <v>51.001311280655663</v>
      </c>
      <c r="N24"/>
      <c r="O24"/>
      <c r="R24"/>
      <c r="S24"/>
      <c r="T24"/>
      <c r="U24"/>
      <c r="V24"/>
      <c r="W24"/>
      <c r="X24"/>
    </row>
    <row r="25" spans="1:24">
      <c r="A25" s="166">
        <f>IF((ROW()-16)*0.1&gt;'Presión de Viento'!$C$9,"",(ROW()-16)*0.1)</f>
        <v>0.9</v>
      </c>
      <c r="B25" s="167">
        <f>IF(A25="","",2.41*(MAX(A25,'Presión de Viento'!$C$35)/'Presión de Viento'!$C$34)^(2/'Presión de Viento'!$C$33))</f>
        <v>0.70580334007468215</v>
      </c>
      <c r="C25" s="166">
        <f>IF(A25="","",0.613*'Presión de Viento'!$C$20*B25*'Presión de Viento'!$C$22*'Presión de Viento'!$C$23*'Presión de Viento'!$C$18^2/9.80665)</f>
        <v>51.001311280655663</v>
      </c>
      <c r="E25" s="176" t="s">
        <v>220</v>
      </c>
      <c r="F25" s="175">
        <f t="shared" si="0"/>
        <v>51.001311280655663</v>
      </c>
      <c r="N25"/>
      <c r="O25"/>
      <c r="R25"/>
      <c r="S25"/>
      <c r="T25"/>
      <c r="U25"/>
      <c r="V25"/>
      <c r="W25"/>
      <c r="X25"/>
    </row>
    <row r="26" spans="1:24">
      <c r="A26" s="166">
        <f>IF((ROW()-16)*0.1&gt;'Presión de Viento'!$C$9,"",(ROW()-16)*0.1)</f>
        <v>1</v>
      </c>
      <c r="B26" s="167">
        <f>IF(A26="","",2.41*(MAX(A26,'Presión de Viento'!$C$35)/'Presión de Viento'!$C$34)^(2/'Presión de Viento'!$C$33))</f>
        <v>0.70580334007468215</v>
      </c>
      <c r="C26" s="166">
        <f>IF(A26="","",0.613*'Presión de Viento'!$C$20*B26*'Presión de Viento'!$C$22*'Presión de Viento'!$C$23*'Presión de Viento'!$C$18^2/9.80665)</f>
        <v>51.001311280655663</v>
      </c>
      <c r="E26" s="176" t="s">
        <v>221</v>
      </c>
      <c r="F26" s="175">
        <f t="shared" si="0"/>
        <v>51.001311280655663</v>
      </c>
      <c r="N26"/>
      <c r="O26"/>
      <c r="R26"/>
      <c r="S26"/>
      <c r="T26"/>
      <c r="U26"/>
      <c r="V26"/>
      <c r="W26"/>
      <c r="X26"/>
    </row>
    <row r="27" spans="1:24">
      <c r="A27" s="166">
        <f>IF((ROW()-16)*0.1&gt;'Presión de Viento'!$C$9,"",(ROW()-16)*0.1)</f>
        <v>1.1000000000000001</v>
      </c>
      <c r="B27" s="167">
        <f>IF(A27="","",2.41*(MAX(A27,'Presión de Viento'!$C$35)/'Presión de Viento'!$C$34)^(2/'Presión de Viento'!$C$33))</f>
        <v>0.70580334007468215</v>
      </c>
      <c r="C27" s="166">
        <f>IF(A27="","",0.613*'Presión de Viento'!$C$20*B27*'Presión de Viento'!$C$22*'Presión de Viento'!$C$23*'Presión de Viento'!$C$18^2/9.80665)</f>
        <v>51.001311280655663</v>
      </c>
      <c r="E27" s="176" t="s">
        <v>222</v>
      </c>
      <c r="F27" s="175">
        <f t="shared" si="0"/>
        <v>51.001311280655663</v>
      </c>
      <c r="N27"/>
      <c r="O27"/>
      <c r="R27"/>
      <c r="S27"/>
      <c r="T27"/>
      <c r="U27"/>
      <c r="V27"/>
      <c r="W27"/>
      <c r="X27"/>
    </row>
    <row r="28" spans="1:24">
      <c r="A28" s="166">
        <f>IF((ROW()-16)*0.1&gt;'Presión de Viento'!$C$9,"",(ROW()-16)*0.1)</f>
        <v>1.2000000000000002</v>
      </c>
      <c r="B28" s="167">
        <f>IF(A28="","",2.41*(MAX(A28,'Presión de Viento'!$C$35)/'Presión de Viento'!$C$34)^(2/'Presión de Viento'!$C$33))</f>
        <v>0.70580334007468215</v>
      </c>
      <c r="C28" s="166">
        <f>IF(A28="","",0.613*'Presión de Viento'!$C$20*B28*'Presión de Viento'!$C$22*'Presión de Viento'!$C$23*'Presión de Viento'!$C$18^2/9.80665)</f>
        <v>51.001311280655663</v>
      </c>
      <c r="E28" s="176" t="s">
        <v>223</v>
      </c>
      <c r="F28" s="175">
        <f t="shared" si="0"/>
        <v>51.001311280655663</v>
      </c>
      <c r="N28"/>
      <c r="O28"/>
      <c r="R28"/>
      <c r="S28"/>
      <c r="T28"/>
      <c r="U28"/>
      <c r="V28"/>
      <c r="W28"/>
      <c r="X28"/>
    </row>
    <row r="29" spans="1:24">
      <c r="A29" s="166">
        <f>IF((ROW()-16)*0.1&gt;'Presión de Viento'!$C$9,"",(ROW()-16)*0.1)</f>
        <v>1.3</v>
      </c>
      <c r="B29" s="167">
        <f>IF(A29="","",2.41*(MAX(A29,'Presión de Viento'!$C$35)/'Presión de Viento'!$C$34)^(2/'Presión de Viento'!$C$33))</f>
        <v>0.70580334007468215</v>
      </c>
      <c r="C29" s="166">
        <f>IF(A29="","",0.613*'Presión de Viento'!$C$20*B29*'Presión de Viento'!$C$22*'Presión de Viento'!$C$23*'Presión de Viento'!$C$18^2/9.80665)</f>
        <v>51.001311280655663</v>
      </c>
      <c r="E29" s="176" t="s">
        <v>224</v>
      </c>
      <c r="F29" s="175">
        <f t="shared" si="0"/>
        <v>51.001311280655663</v>
      </c>
      <c r="N29"/>
      <c r="O29"/>
      <c r="R29"/>
      <c r="S29"/>
      <c r="T29"/>
      <c r="U29"/>
      <c r="V29"/>
      <c r="W29"/>
      <c r="X29"/>
    </row>
    <row r="30" spans="1:24">
      <c r="A30" s="166">
        <f>IF((ROW()-16)*0.1&gt;'Presión de Viento'!$C$9,"",(ROW()-16)*0.1)</f>
        <v>1.4000000000000001</v>
      </c>
      <c r="B30" s="167">
        <f>IF(A30="","",2.41*(MAX(A30,'Presión de Viento'!$C$35)/'Presión de Viento'!$C$34)^(2/'Presión de Viento'!$C$33))</f>
        <v>0.70580334007468215</v>
      </c>
      <c r="C30" s="166">
        <f>IF(A30="","",0.613*'Presión de Viento'!$C$20*B30*'Presión de Viento'!$C$22*'Presión de Viento'!$C$23*'Presión de Viento'!$C$18^2/9.80665)</f>
        <v>51.001311280655663</v>
      </c>
      <c r="E30" s="176" t="s">
        <v>225</v>
      </c>
      <c r="F30" s="175">
        <f t="shared" si="0"/>
        <v>51.001311280655663</v>
      </c>
      <c r="N30"/>
      <c r="O30"/>
      <c r="R30"/>
      <c r="S30"/>
      <c r="T30"/>
      <c r="U30"/>
      <c r="V30"/>
      <c r="W30"/>
      <c r="X30"/>
    </row>
    <row r="31" spans="1:24">
      <c r="A31" s="166">
        <f>IF((ROW()-16)*0.1&gt;'Presión de Viento'!$C$9,"",(ROW()-16)*0.1)</f>
        <v>1.5</v>
      </c>
      <c r="B31" s="167">
        <f>IF(A31="","",2.41*(MAX(A31,'Presión de Viento'!$C$35)/'Presión de Viento'!$C$34)^(2/'Presión de Viento'!$C$33))</f>
        <v>0.70580334007468215</v>
      </c>
      <c r="C31" s="166">
        <f>IF(A31="","",0.613*'Presión de Viento'!$C$20*B31*'Presión de Viento'!$C$22*'Presión de Viento'!$C$23*'Presión de Viento'!$C$18^2/9.80665)</f>
        <v>51.001311280655663</v>
      </c>
      <c r="E31" s="176" t="s">
        <v>226</v>
      </c>
      <c r="F31" s="175">
        <f t="shared" si="0"/>
        <v>51.001311280655663</v>
      </c>
      <c r="N31"/>
      <c r="O31"/>
      <c r="R31"/>
      <c r="S31"/>
      <c r="T31"/>
      <c r="U31"/>
      <c r="V31"/>
      <c r="W31"/>
      <c r="X31"/>
    </row>
    <row r="32" spans="1:24">
      <c r="A32" s="166">
        <f>IF((ROW()-16)*0.1&gt;'Presión de Viento'!$C$9,"",(ROW()-16)*0.1)</f>
        <v>1.6</v>
      </c>
      <c r="B32" s="167">
        <f>IF(A32="","",2.41*(MAX(A32,'Presión de Viento'!$C$35)/'Presión de Viento'!$C$34)^(2/'Presión de Viento'!$C$33))</f>
        <v>0.70580334007468215</v>
      </c>
      <c r="C32" s="166">
        <f>IF(A32="","",0.613*'Presión de Viento'!$C$20*B32*'Presión de Viento'!$C$22*'Presión de Viento'!$C$23*'Presión de Viento'!$C$18^2/9.80665)</f>
        <v>51.001311280655663</v>
      </c>
      <c r="E32" s="176" t="s">
        <v>227</v>
      </c>
      <c r="F32" s="175">
        <f t="shared" si="0"/>
        <v>51.001311280655663</v>
      </c>
      <c r="N32"/>
      <c r="O32"/>
      <c r="R32"/>
      <c r="S32"/>
      <c r="T32"/>
      <c r="U32"/>
      <c r="V32"/>
      <c r="W32"/>
      <c r="X32"/>
    </row>
    <row r="33" spans="1:24">
      <c r="A33" s="166">
        <f>IF((ROW()-16)*0.1&gt;'Presión de Viento'!$C$9,"",(ROW()-16)*0.1)</f>
        <v>1.7000000000000002</v>
      </c>
      <c r="B33" s="167">
        <f>IF(A33="","",2.41*(MAX(A33,'Presión de Viento'!$C$35)/'Presión de Viento'!$C$34)^(2/'Presión de Viento'!$C$33))</f>
        <v>0.70580334007468215</v>
      </c>
      <c r="C33" s="166">
        <f>IF(A33="","",0.613*'Presión de Viento'!$C$20*B33*'Presión de Viento'!$C$22*'Presión de Viento'!$C$23*'Presión de Viento'!$C$18^2/9.80665)</f>
        <v>51.001311280655663</v>
      </c>
      <c r="E33" s="176" t="s">
        <v>228</v>
      </c>
      <c r="F33" s="175">
        <f t="shared" si="0"/>
        <v>51.001311280655663</v>
      </c>
      <c r="N33"/>
      <c r="O33"/>
      <c r="R33"/>
      <c r="S33"/>
      <c r="T33"/>
      <c r="U33"/>
      <c r="V33"/>
      <c r="W33"/>
      <c r="X33"/>
    </row>
    <row r="34" spans="1:24">
      <c r="A34" s="166">
        <f>IF((ROW()-16)*0.1&gt;'Presión de Viento'!$C$9,"",(ROW()-16)*0.1)</f>
        <v>1.8</v>
      </c>
      <c r="B34" s="167">
        <f>IF(A34="","",2.41*(MAX(A34,'Presión de Viento'!$C$35)/'Presión de Viento'!$C$34)^(2/'Presión de Viento'!$C$33))</f>
        <v>0.70580334007468215</v>
      </c>
      <c r="C34" s="166">
        <f>IF(A34="","",0.613*'Presión de Viento'!$C$20*B34*'Presión de Viento'!$C$22*'Presión de Viento'!$C$23*'Presión de Viento'!$C$18^2/9.80665)</f>
        <v>51.001311280655663</v>
      </c>
      <c r="E34" s="176" t="s">
        <v>229</v>
      </c>
      <c r="F34" s="175">
        <f t="shared" si="0"/>
        <v>51.001311280655663</v>
      </c>
      <c r="N34"/>
      <c r="O34"/>
      <c r="R34"/>
      <c r="S34"/>
      <c r="T34"/>
      <c r="U34"/>
      <c r="V34"/>
      <c r="W34"/>
      <c r="X34"/>
    </row>
    <row r="35" spans="1:24">
      <c r="A35" s="166">
        <f>IF((ROW()-16)*0.1&gt;'Presión de Viento'!$C$9,"",(ROW()-16)*0.1)</f>
        <v>1.9000000000000001</v>
      </c>
      <c r="B35" s="167">
        <f>IF(A35="","",2.41*(MAX(A35,'Presión de Viento'!$C$35)/'Presión de Viento'!$C$34)^(2/'Presión de Viento'!$C$33))</f>
        <v>0.70580334007468215</v>
      </c>
      <c r="C35" s="166">
        <f>IF(A35="","",0.613*'Presión de Viento'!$C$20*B35*'Presión de Viento'!$C$22*'Presión de Viento'!$C$23*'Presión de Viento'!$C$18^2/9.80665)</f>
        <v>51.001311280655663</v>
      </c>
      <c r="E35" s="176" t="s">
        <v>230</v>
      </c>
      <c r="F35" s="175">
        <f t="shared" si="0"/>
        <v>51.001311280655663</v>
      </c>
      <c r="N35"/>
      <c r="O35"/>
      <c r="R35"/>
      <c r="S35"/>
      <c r="T35"/>
      <c r="U35"/>
      <c r="V35"/>
      <c r="W35"/>
      <c r="X35"/>
    </row>
    <row r="36" spans="1:24">
      <c r="A36" s="166">
        <f>IF((ROW()-16)*0.1&gt;'Presión de Viento'!$C$9,"",(ROW()-16)*0.1)</f>
        <v>2</v>
      </c>
      <c r="B36" s="167">
        <f>IF(A36="","",2.41*(MAX(A36,'Presión de Viento'!$C$35)/'Presión de Viento'!$C$34)^(2/'Presión de Viento'!$C$33))</f>
        <v>0.70580334007468215</v>
      </c>
      <c r="C36" s="166">
        <f>IF(A36="","",0.613*'Presión de Viento'!$C$20*B36*'Presión de Viento'!$C$22*'Presión de Viento'!$C$23*'Presión de Viento'!$C$18^2/9.80665)</f>
        <v>51.001311280655663</v>
      </c>
      <c r="E36" s="176" t="s">
        <v>231</v>
      </c>
      <c r="F36" s="175">
        <f t="shared" si="0"/>
        <v>51.001311280655663</v>
      </c>
      <c r="N36"/>
      <c r="O36"/>
      <c r="R36"/>
      <c r="S36"/>
      <c r="T36"/>
      <c r="U36"/>
      <c r="V36"/>
      <c r="W36"/>
      <c r="X36"/>
    </row>
    <row r="37" spans="1:24">
      <c r="A37" s="166">
        <f>IF((ROW()-16)*0.1&gt;'Presión de Viento'!$C$9,"",(ROW()-16)*0.1)</f>
        <v>2.1</v>
      </c>
      <c r="B37" s="167">
        <f>IF(A37="","",2.41*(MAX(A37,'Presión de Viento'!$C$35)/'Presión de Viento'!$C$34)^(2/'Presión de Viento'!$C$33))</f>
        <v>0.70580334007468215</v>
      </c>
      <c r="C37" s="166">
        <f>IF(A37="","",0.613*'Presión de Viento'!$C$20*B37*'Presión de Viento'!$C$22*'Presión de Viento'!$C$23*'Presión de Viento'!$C$18^2/9.80665)</f>
        <v>51.001311280655663</v>
      </c>
      <c r="E37" s="176" t="s">
        <v>232</v>
      </c>
      <c r="F37" s="175">
        <f t="shared" si="0"/>
        <v>51.001311280655663</v>
      </c>
      <c r="N37"/>
      <c r="O37"/>
      <c r="R37"/>
      <c r="S37"/>
      <c r="T37"/>
      <c r="U37"/>
      <c r="V37"/>
      <c r="W37"/>
      <c r="X37"/>
    </row>
    <row r="38" spans="1:24">
      <c r="A38" s="166">
        <f>IF((ROW()-16)*0.1&gt;'Presión de Viento'!$C$9,"",(ROW()-16)*0.1)</f>
        <v>2.2000000000000002</v>
      </c>
      <c r="B38" s="167">
        <f>IF(A38="","",2.41*(MAX(A38,'Presión de Viento'!$C$35)/'Presión de Viento'!$C$34)^(2/'Presión de Viento'!$C$33))</f>
        <v>0.70580334007468215</v>
      </c>
      <c r="C38" s="166">
        <f>IF(A38="","",0.613*'Presión de Viento'!$C$20*B38*'Presión de Viento'!$C$22*'Presión de Viento'!$C$23*'Presión de Viento'!$C$18^2/9.80665)</f>
        <v>51.001311280655663</v>
      </c>
      <c r="E38" s="176" t="s">
        <v>233</v>
      </c>
      <c r="F38" s="175">
        <f t="shared" si="0"/>
        <v>51.001311280655663</v>
      </c>
      <c r="N38"/>
      <c r="O38"/>
      <c r="R38"/>
      <c r="S38"/>
      <c r="T38"/>
      <c r="U38"/>
      <c r="V38"/>
      <c r="W38"/>
      <c r="X38"/>
    </row>
    <row r="39" spans="1:24">
      <c r="A39" s="166">
        <f>IF((ROW()-16)*0.1&gt;'Presión de Viento'!$C$9,"",(ROW()-16)*0.1)</f>
        <v>2.3000000000000003</v>
      </c>
      <c r="B39" s="167">
        <f>IF(A39="","",2.41*(MAX(A39,'Presión de Viento'!$C$35)/'Presión de Viento'!$C$34)^(2/'Presión de Viento'!$C$33))</f>
        <v>0.70580334007468215</v>
      </c>
      <c r="C39" s="166">
        <f>IF(A39="","",0.613*'Presión de Viento'!$C$20*B39*'Presión de Viento'!$C$22*'Presión de Viento'!$C$23*'Presión de Viento'!$C$18^2/9.80665)</f>
        <v>51.001311280655663</v>
      </c>
      <c r="E39" s="176" t="s">
        <v>234</v>
      </c>
      <c r="F39" s="175">
        <f t="shared" si="0"/>
        <v>51.001311280655663</v>
      </c>
      <c r="N39"/>
      <c r="O39"/>
      <c r="R39"/>
      <c r="S39"/>
      <c r="T39"/>
      <c r="U39"/>
      <c r="V39"/>
      <c r="W39"/>
      <c r="X39"/>
    </row>
    <row r="40" spans="1:24">
      <c r="A40" s="166">
        <f>IF((ROW()-16)*0.1&gt;'Presión de Viento'!$C$9,"",(ROW()-16)*0.1)</f>
        <v>2.4000000000000004</v>
      </c>
      <c r="B40" s="167">
        <f>IF(A40="","",2.41*(MAX(A40,'Presión de Viento'!$C$35)/'Presión de Viento'!$C$34)^(2/'Presión de Viento'!$C$33))</f>
        <v>0.70580334007468215</v>
      </c>
      <c r="C40" s="166">
        <f>IF(A40="","",0.613*'Presión de Viento'!$C$20*B40*'Presión de Viento'!$C$22*'Presión de Viento'!$C$23*'Presión de Viento'!$C$18^2/9.80665)</f>
        <v>51.001311280655663</v>
      </c>
      <c r="E40" s="176" t="s">
        <v>235</v>
      </c>
      <c r="F40" s="175">
        <f t="shared" si="0"/>
        <v>51.001311280655663</v>
      </c>
      <c r="N40"/>
      <c r="O40"/>
      <c r="R40"/>
      <c r="S40"/>
      <c r="T40"/>
      <c r="U40"/>
      <c r="V40"/>
      <c r="W40"/>
      <c r="X40"/>
    </row>
    <row r="41" spans="1:24">
      <c r="A41" s="166">
        <f>IF((ROW()-16)*0.1&gt;'Presión de Viento'!$C$9,"",(ROW()-16)*0.1)</f>
        <v>2.5</v>
      </c>
      <c r="B41" s="167">
        <f>IF(A41="","",2.41*(MAX(A41,'Presión de Viento'!$C$35)/'Presión de Viento'!$C$34)^(2/'Presión de Viento'!$C$33))</f>
        <v>0.70580334007468215</v>
      </c>
      <c r="C41" s="166">
        <f>IF(A41="","",0.613*'Presión de Viento'!$C$20*B41*'Presión de Viento'!$C$22*'Presión de Viento'!$C$23*'Presión de Viento'!$C$18^2/9.80665)</f>
        <v>51.001311280655663</v>
      </c>
      <c r="E41" s="176" t="s">
        <v>236</v>
      </c>
      <c r="F41" s="175">
        <f t="shared" si="0"/>
        <v>51.001311280655663</v>
      </c>
      <c r="N41"/>
      <c r="O41"/>
      <c r="R41"/>
      <c r="S41"/>
      <c r="T41"/>
      <c r="U41"/>
      <c r="V41"/>
      <c r="W41"/>
      <c r="X41"/>
    </row>
    <row r="42" spans="1:24">
      <c r="A42" s="166">
        <f>IF((ROW()-16)*0.1&gt;'Presión de Viento'!$C$9,"",(ROW()-16)*0.1)</f>
        <v>2.6</v>
      </c>
      <c r="B42" s="167">
        <f>IF(A42="","",2.41*(MAX(A42,'Presión de Viento'!$C$35)/'Presión de Viento'!$C$34)^(2/'Presión de Viento'!$C$33))</f>
        <v>0.70580334007468215</v>
      </c>
      <c r="C42" s="166">
        <f>IF(A42="","",0.613*'Presión de Viento'!$C$20*B42*'Presión de Viento'!$C$22*'Presión de Viento'!$C$23*'Presión de Viento'!$C$18^2/9.80665)</f>
        <v>51.001311280655663</v>
      </c>
      <c r="E42" s="176" t="s">
        <v>237</v>
      </c>
      <c r="F42" s="175">
        <f t="shared" si="0"/>
        <v>51.001311280655663</v>
      </c>
      <c r="N42"/>
      <c r="O42"/>
      <c r="R42"/>
      <c r="S42"/>
      <c r="T42"/>
      <c r="U42"/>
      <c r="V42"/>
      <c r="W42"/>
      <c r="X42"/>
    </row>
    <row r="43" spans="1:24">
      <c r="A43" s="166">
        <f>IF((ROW()-16)*0.1&gt;'Presión de Viento'!$C$9,"",(ROW()-16)*0.1)</f>
        <v>2.7</v>
      </c>
      <c r="B43" s="167">
        <f>IF(A43="","",2.41*(MAX(A43,'Presión de Viento'!$C$35)/'Presión de Viento'!$C$34)^(2/'Presión de Viento'!$C$33))</f>
        <v>0.70580334007468215</v>
      </c>
      <c r="C43" s="166">
        <f>IF(A43="","",0.613*'Presión de Viento'!$C$20*B43*'Presión de Viento'!$C$22*'Presión de Viento'!$C$23*'Presión de Viento'!$C$18^2/9.80665)</f>
        <v>51.001311280655663</v>
      </c>
      <c r="E43" s="176" t="s">
        <v>238</v>
      </c>
      <c r="F43" s="175">
        <f t="shared" si="0"/>
        <v>51.001311280655663</v>
      </c>
      <c r="N43"/>
      <c r="O43"/>
      <c r="R43"/>
      <c r="S43"/>
      <c r="T43"/>
      <c r="U43"/>
      <c r="V43"/>
      <c r="W43"/>
      <c r="X43"/>
    </row>
    <row r="44" spans="1:24">
      <c r="A44" s="166">
        <f>IF((ROW()-16)*0.1&gt;'Presión de Viento'!$C$9,"",(ROW()-16)*0.1)</f>
        <v>2.8000000000000003</v>
      </c>
      <c r="B44" s="167">
        <f>IF(A44="","",2.41*(MAX(A44,'Presión de Viento'!$C$35)/'Presión de Viento'!$C$34)^(2/'Presión de Viento'!$C$33))</f>
        <v>0.70580334007468215</v>
      </c>
      <c r="C44" s="166">
        <f>IF(A44="","",0.613*'Presión de Viento'!$C$20*B44*'Presión de Viento'!$C$22*'Presión de Viento'!$C$23*'Presión de Viento'!$C$18^2/9.80665)</f>
        <v>51.001311280655663</v>
      </c>
      <c r="E44" s="176" t="s">
        <v>239</v>
      </c>
      <c r="F44" s="175">
        <f t="shared" si="0"/>
        <v>51.001311280655663</v>
      </c>
      <c r="N44"/>
      <c r="O44"/>
      <c r="R44"/>
      <c r="S44"/>
      <c r="T44"/>
      <c r="U44"/>
      <c r="V44"/>
      <c r="W44"/>
      <c r="X44"/>
    </row>
    <row r="45" spans="1:24">
      <c r="A45" s="166">
        <f>IF((ROW()-16)*0.1&gt;'Presión de Viento'!$C$9,"",(ROW()-16)*0.1)</f>
        <v>2.9000000000000004</v>
      </c>
      <c r="B45" s="167">
        <f>IF(A45="","",2.41*(MAX(A45,'Presión de Viento'!$C$35)/'Presión de Viento'!$C$34)^(2/'Presión de Viento'!$C$33))</f>
        <v>0.70580334007468215</v>
      </c>
      <c r="C45" s="166">
        <f>IF(A45="","",0.613*'Presión de Viento'!$C$20*B45*'Presión de Viento'!$C$22*'Presión de Viento'!$C$23*'Presión de Viento'!$C$18^2/9.80665)</f>
        <v>51.001311280655663</v>
      </c>
      <c r="E45" s="176" t="s">
        <v>240</v>
      </c>
      <c r="F45" s="175">
        <f t="shared" si="0"/>
        <v>51.001311280655663</v>
      </c>
      <c r="N45"/>
      <c r="O45"/>
      <c r="R45"/>
      <c r="S45"/>
      <c r="T45"/>
      <c r="U45"/>
      <c r="V45"/>
      <c r="W45"/>
      <c r="X45"/>
    </row>
    <row r="46" spans="1:24">
      <c r="A46" s="166">
        <f>IF((ROW()-16)*0.1&gt;'Presión de Viento'!$C$9,"",(ROW()-16)*0.1)</f>
        <v>3</v>
      </c>
      <c r="B46" s="167">
        <f>IF(A46="","",2.41*(MAX(A46,'Presión de Viento'!$C$35)/'Presión de Viento'!$C$34)^(2/'Presión de Viento'!$C$33))</f>
        <v>0.70580334007468215</v>
      </c>
      <c r="C46" s="166">
        <f>IF(A46="","",0.613*'Presión de Viento'!$C$20*B46*'Presión de Viento'!$C$22*'Presión de Viento'!$C$23*'Presión de Viento'!$C$18^2/9.80665)</f>
        <v>51.001311280655663</v>
      </c>
      <c r="E46" s="176" t="s">
        <v>241</v>
      </c>
      <c r="F46" s="175">
        <f t="shared" si="0"/>
        <v>51.001311280655663</v>
      </c>
      <c r="N46"/>
      <c r="O46"/>
      <c r="R46"/>
      <c r="S46"/>
      <c r="T46"/>
      <c r="U46"/>
      <c r="V46"/>
      <c r="W46"/>
      <c r="X46"/>
    </row>
    <row r="47" spans="1:24">
      <c r="A47" s="166">
        <f>IF((ROW()-16)*0.1&gt;'Presión de Viento'!$C$9,"",(ROW()-16)*0.1)</f>
        <v>3.1</v>
      </c>
      <c r="B47" s="167">
        <f>IF(A47="","",2.41*(MAX(A47,'Presión de Viento'!$C$35)/'Presión de Viento'!$C$34)^(2/'Presión de Viento'!$C$33))</f>
        <v>0.70580334007468215</v>
      </c>
      <c r="C47" s="166">
        <f>IF(A47="","",0.613*'Presión de Viento'!$C$20*B47*'Presión de Viento'!$C$22*'Presión de Viento'!$C$23*'Presión de Viento'!$C$18^2/9.80665)</f>
        <v>51.001311280655663</v>
      </c>
      <c r="E47" s="176" t="s">
        <v>242</v>
      </c>
      <c r="F47" s="175">
        <f t="shared" si="0"/>
        <v>51.001311280655663</v>
      </c>
      <c r="N47"/>
      <c r="O47"/>
      <c r="R47"/>
      <c r="S47"/>
      <c r="T47"/>
      <c r="U47"/>
      <c r="V47"/>
      <c r="W47"/>
      <c r="X47"/>
    </row>
    <row r="48" spans="1:24">
      <c r="A48" s="166">
        <f>IF((ROW()-16)*0.1&gt;'Presión de Viento'!$C$9,"",(ROW()-16)*0.1)</f>
        <v>3.2</v>
      </c>
      <c r="B48" s="167">
        <f>IF(A48="","",2.41*(MAX(A48,'Presión de Viento'!$C$35)/'Presión de Viento'!$C$34)^(2/'Presión de Viento'!$C$33))</f>
        <v>0.70580334007468215</v>
      </c>
      <c r="C48" s="166">
        <f>IF(A48="","",0.613*'Presión de Viento'!$C$20*B48*'Presión de Viento'!$C$22*'Presión de Viento'!$C$23*'Presión de Viento'!$C$18^2/9.80665)</f>
        <v>51.001311280655663</v>
      </c>
      <c r="E48" s="176" t="s">
        <v>243</v>
      </c>
      <c r="F48" s="175">
        <f t="shared" si="0"/>
        <v>51.001311280655663</v>
      </c>
      <c r="N48"/>
      <c r="O48"/>
      <c r="R48"/>
      <c r="S48"/>
      <c r="T48"/>
      <c r="U48"/>
      <c r="V48"/>
      <c r="W48"/>
      <c r="X48"/>
    </row>
    <row r="49" spans="1:24">
      <c r="A49" s="166">
        <f>IF((ROW()-16)*0.1&gt;'Presión de Viento'!$C$9,"",(ROW()-16)*0.1)</f>
        <v>3.3000000000000003</v>
      </c>
      <c r="B49" s="167">
        <f>IF(A49="","",2.41*(MAX(A49,'Presión de Viento'!$C$35)/'Presión de Viento'!$C$34)^(2/'Presión de Viento'!$C$33))</f>
        <v>0.70580334007468215</v>
      </c>
      <c r="C49" s="166">
        <f>IF(A49="","",0.613*'Presión de Viento'!$C$20*B49*'Presión de Viento'!$C$22*'Presión de Viento'!$C$23*'Presión de Viento'!$C$18^2/9.80665)</f>
        <v>51.001311280655663</v>
      </c>
      <c r="E49" s="176" t="s">
        <v>244</v>
      </c>
      <c r="F49" s="175">
        <f t="shared" si="0"/>
        <v>51.001311280655663</v>
      </c>
      <c r="N49"/>
      <c r="O49"/>
      <c r="R49"/>
      <c r="S49"/>
      <c r="T49"/>
      <c r="U49"/>
      <c r="V49"/>
      <c r="W49"/>
      <c r="X49"/>
    </row>
    <row r="50" spans="1:24">
      <c r="A50" s="166">
        <f>IF((ROW()-16)*0.1&gt;'Presión de Viento'!$C$9,"",(ROW()-16)*0.1)</f>
        <v>3.4000000000000004</v>
      </c>
      <c r="B50" s="167">
        <f>IF(A50="","",2.41*(MAX(A50,'Presión de Viento'!$C$35)/'Presión de Viento'!$C$34)^(2/'Presión de Viento'!$C$33))</f>
        <v>0.70580334007468215</v>
      </c>
      <c r="C50" s="166">
        <f>IF(A50="","",0.613*'Presión de Viento'!$C$20*B50*'Presión de Viento'!$C$22*'Presión de Viento'!$C$23*'Presión de Viento'!$C$18^2/9.80665)</f>
        <v>51.001311280655663</v>
      </c>
      <c r="E50" s="176" t="s">
        <v>245</v>
      </c>
      <c r="F50" s="175">
        <f t="shared" si="0"/>
        <v>51.001311280655663</v>
      </c>
      <c r="N50"/>
      <c r="O50"/>
      <c r="R50"/>
      <c r="S50"/>
      <c r="T50"/>
      <c r="U50"/>
      <c r="V50"/>
      <c r="W50"/>
      <c r="X50"/>
    </row>
    <row r="51" spans="1:24">
      <c r="A51" s="166">
        <f>IF((ROW()-16)*0.1&gt;'Presión de Viento'!$C$9,"",(ROW()-16)*0.1)</f>
        <v>3.5</v>
      </c>
      <c r="B51" s="167">
        <f>IF(A51="","",2.41*(MAX(A51,'Presión de Viento'!$C$35)/'Presión de Viento'!$C$34)^(2/'Presión de Viento'!$C$33))</f>
        <v>0.70580334007468215</v>
      </c>
      <c r="C51" s="166">
        <f>IF(A51="","",0.613*'Presión de Viento'!$C$20*B51*'Presión de Viento'!$C$22*'Presión de Viento'!$C$23*'Presión de Viento'!$C$18^2/9.80665)</f>
        <v>51.001311280655663</v>
      </c>
      <c r="E51" s="176" t="s">
        <v>246</v>
      </c>
      <c r="F51" s="175">
        <f t="shared" si="0"/>
        <v>51.001311280655663</v>
      </c>
      <c r="N51"/>
      <c r="O51"/>
      <c r="R51"/>
      <c r="S51"/>
      <c r="T51"/>
      <c r="U51"/>
      <c r="V51"/>
      <c r="W51"/>
      <c r="X51"/>
    </row>
    <row r="52" spans="1:24">
      <c r="A52" s="166">
        <f>IF((ROW()-16)*0.1&gt;'Presión de Viento'!$C$9,"",(ROW()-16)*0.1)</f>
        <v>3.6</v>
      </c>
      <c r="B52" s="167">
        <f>IF(A52="","",2.41*(MAX(A52,'Presión de Viento'!$C$35)/'Presión de Viento'!$C$34)^(2/'Presión de Viento'!$C$33))</f>
        <v>0.70580334007468215</v>
      </c>
      <c r="C52" s="166">
        <f>IF(A52="","",0.613*'Presión de Viento'!$C$20*B52*'Presión de Viento'!$C$22*'Presión de Viento'!$C$23*'Presión de Viento'!$C$18^2/9.80665)</f>
        <v>51.001311280655663</v>
      </c>
      <c r="E52" s="176" t="s">
        <v>247</v>
      </c>
      <c r="F52" s="175">
        <f t="shared" si="0"/>
        <v>51.001311280655663</v>
      </c>
      <c r="N52"/>
      <c r="O52"/>
      <c r="R52"/>
      <c r="S52"/>
      <c r="T52"/>
      <c r="U52"/>
      <c r="V52"/>
      <c r="W52"/>
      <c r="X52"/>
    </row>
    <row r="53" spans="1:24">
      <c r="A53" s="166">
        <f>IF((ROW()-16)*0.1&gt;'Presión de Viento'!$C$9,"",(ROW()-16)*0.1)</f>
        <v>3.7</v>
      </c>
      <c r="B53" s="167">
        <f>IF(A53="","",2.41*(MAX(A53,'Presión de Viento'!$C$35)/'Presión de Viento'!$C$34)^(2/'Presión de Viento'!$C$33))</f>
        <v>0.70580334007468215</v>
      </c>
      <c r="C53" s="166">
        <f>IF(A53="","",0.613*'Presión de Viento'!$C$20*B53*'Presión de Viento'!$C$22*'Presión de Viento'!$C$23*'Presión de Viento'!$C$18^2/9.80665)</f>
        <v>51.001311280655663</v>
      </c>
      <c r="E53" s="176" t="s">
        <v>248</v>
      </c>
      <c r="F53" s="175">
        <f t="shared" si="0"/>
        <v>51.001311280655663</v>
      </c>
      <c r="N53"/>
      <c r="O53"/>
      <c r="R53"/>
      <c r="S53"/>
      <c r="T53"/>
      <c r="U53"/>
      <c r="V53"/>
      <c r="W53"/>
      <c r="X53"/>
    </row>
    <row r="54" spans="1:24">
      <c r="A54" s="166">
        <f>IF((ROW()-16)*0.1&gt;'Presión de Viento'!$C$9,"",(ROW()-16)*0.1)</f>
        <v>3.8000000000000003</v>
      </c>
      <c r="B54" s="167">
        <f>IF(A54="","",2.41*(MAX(A54,'Presión de Viento'!$C$35)/'Presión de Viento'!$C$34)^(2/'Presión de Viento'!$C$33))</f>
        <v>0.70580334007468215</v>
      </c>
      <c r="C54" s="166">
        <f>IF(A54="","",0.613*'Presión de Viento'!$C$20*B54*'Presión de Viento'!$C$22*'Presión de Viento'!$C$23*'Presión de Viento'!$C$18^2/9.80665)</f>
        <v>51.001311280655663</v>
      </c>
      <c r="E54" s="176" t="s">
        <v>249</v>
      </c>
      <c r="F54" s="175">
        <f t="shared" si="0"/>
        <v>51.001311280655663</v>
      </c>
      <c r="N54"/>
      <c r="O54"/>
      <c r="R54"/>
      <c r="S54"/>
      <c r="T54"/>
      <c r="U54"/>
      <c r="V54"/>
      <c r="W54"/>
      <c r="X54"/>
    </row>
    <row r="55" spans="1:24">
      <c r="A55" s="166">
        <f>IF((ROW()-16)*0.1&gt;'Presión de Viento'!$C$9,"",(ROW()-16)*0.1)</f>
        <v>3.9000000000000004</v>
      </c>
      <c r="B55" s="167">
        <f>IF(A55="","",2.41*(MAX(A55,'Presión de Viento'!$C$35)/'Presión de Viento'!$C$34)^(2/'Presión de Viento'!$C$33))</f>
        <v>0.70580334007468215</v>
      </c>
      <c r="C55" s="166">
        <f>IF(A55="","",0.613*'Presión de Viento'!$C$20*B55*'Presión de Viento'!$C$22*'Presión de Viento'!$C$23*'Presión de Viento'!$C$18^2/9.80665)</f>
        <v>51.001311280655663</v>
      </c>
      <c r="E55" s="176" t="s">
        <v>250</v>
      </c>
      <c r="F55" s="175">
        <f t="shared" si="0"/>
        <v>51.001311280655663</v>
      </c>
      <c r="N55"/>
      <c r="O55"/>
      <c r="R55"/>
      <c r="S55"/>
      <c r="T55"/>
      <c r="U55"/>
      <c r="V55"/>
      <c r="W55"/>
      <c r="X55"/>
    </row>
    <row r="56" spans="1:24">
      <c r="A56" s="166">
        <f>IF((ROW()-16)*0.1&gt;'Presión de Viento'!$C$9,"",(ROW()-16)*0.1)</f>
        <v>4</v>
      </c>
      <c r="B56" s="167">
        <f>IF(A56="","",2.41*(MAX(A56,'Presión de Viento'!$C$35)/'Presión de Viento'!$C$34)^(2/'Presión de Viento'!$C$33))</f>
        <v>0.70580334007468215</v>
      </c>
      <c r="C56" s="166">
        <f>IF(A56="","",0.613*'Presión de Viento'!$C$20*B56*'Presión de Viento'!$C$22*'Presión de Viento'!$C$23*'Presión de Viento'!$C$18^2/9.80665)</f>
        <v>51.001311280655663</v>
      </c>
      <c r="E56" s="176" t="s">
        <v>251</v>
      </c>
      <c r="F56" s="175">
        <f t="shared" si="0"/>
        <v>51.001311280655663</v>
      </c>
      <c r="N56"/>
      <c r="O56"/>
      <c r="R56"/>
      <c r="S56"/>
      <c r="T56"/>
      <c r="U56"/>
      <c r="V56"/>
      <c r="W56"/>
      <c r="X56"/>
    </row>
    <row r="57" spans="1:24">
      <c r="A57" s="166">
        <f>IF((ROW()-16)*0.1&gt;'Presión de Viento'!$C$9,"",(ROW()-16)*0.1)</f>
        <v>4.1000000000000005</v>
      </c>
      <c r="B57" s="167">
        <f>IF(A57="","",2.41*(MAX(A57,'Presión de Viento'!$C$35)/'Presión de Viento'!$C$34)^(2/'Presión de Viento'!$C$33))</f>
        <v>0.70580334007468215</v>
      </c>
      <c r="C57" s="166">
        <f>IF(A57="","",0.613*'Presión de Viento'!$C$20*B57*'Presión de Viento'!$C$22*'Presión de Viento'!$C$23*'Presión de Viento'!$C$18^2/9.80665)</f>
        <v>51.001311280655663</v>
      </c>
      <c r="E57" s="176" t="s">
        <v>252</v>
      </c>
      <c r="F57" s="175">
        <f t="shared" si="0"/>
        <v>51.001311280655663</v>
      </c>
      <c r="N57"/>
      <c r="O57"/>
      <c r="R57"/>
      <c r="S57"/>
      <c r="T57"/>
      <c r="U57"/>
      <c r="V57"/>
      <c r="W57"/>
      <c r="X57"/>
    </row>
    <row r="58" spans="1:24">
      <c r="A58" s="166">
        <f>IF((ROW()-16)*0.1&gt;'Presión de Viento'!$C$9,"",(ROW()-16)*0.1)</f>
        <v>4.2</v>
      </c>
      <c r="B58" s="167">
        <f>IF(A58="","",2.41*(MAX(A58,'Presión de Viento'!$C$35)/'Presión de Viento'!$C$34)^(2/'Presión de Viento'!$C$33))</f>
        <v>0.70580334007468215</v>
      </c>
      <c r="C58" s="166">
        <f>IF(A58="","",0.613*'Presión de Viento'!$C$20*B58*'Presión de Viento'!$C$22*'Presión de Viento'!$C$23*'Presión de Viento'!$C$18^2/9.80665)</f>
        <v>51.001311280655663</v>
      </c>
      <c r="E58" s="176" t="s">
        <v>253</v>
      </c>
      <c r="F58" s="175">
        <f t="shared" si="0"/>
        <v>51.001311280655663</v>
      </c>
      <c r="N58"/>
      <c r="O58"/>
      <c r="R58"/>
      <c r="S58"/>
      <c r="T58"/>
      <c r="U58"/>
      <c r="V58"/>
      <c r="W58"/>
      <c r="X58"/>
    </row>
    <row r="59" spans="1:24">
      <c r="A59" s="166">
        <f>IF((ROW()-16)*0.1&gt;'Presión de Viento'!$C$9,"",(ROW()-16)*0.1)</f>
        <v>4.3</v>
      </c>
      <c r="B59" s="167">
        <f>IF(A59="","",2.41*(MAX(A59,'Presión de Viento'!$C$35)/'Presión de Viento'!$C$34)^(2/'Presión de Viento'!$C$33))</f>
        <v>0.70580334007468215</v>
      </c>
      <c r="C59" s="166">
        <f>IF(A59="","",0.613*'Presión de Viento'!$C$20*B59*'Presión de Viento'!$C$22*'Presión de Viento'!$C$23*'Presión de Viento'!$C$18^2/9.80665)</f>
        <v>51.001311280655663</v>
      </c>
      <c r="E59" s="176" t="s">
        <v>254</v>
      </c>
      <c r="F59" s="175">
        <f t="shared" si="0"/>
        <v>51.001311280655663</v>
      </c>
      <c r="N59"/>
      <c r="O59"/>
      <c r="R59"/>
      <c r="S59"/>
      <c r="T59"/>
      <c r="U59"/>
      <c r="V59"/>
      <c r="W59"/>
      <c r="X59"/>
    </row>
    <row r="60" spans="1:24">
      <c r="A60" s="166">
        <f>IF((ROW()-16)*0.1&gt;'Presión de Viento'!$C$9,"",(ROW()-16)*0.1)</f>
        <v>4.4000000000000004</v>
      </c>
      <c r="B60" s="167">
        <f>IF(A60="","",2.41*(MAX(A60,'Presión de Viento'!$C$35)/'Presión de Viento'!$C$34)^(2/'Presión de Viento'!$C$33))</f>
        <v>0.70580334007468215</v>
      </c>
      <c r="C60" s="166">
        <f>IF(A60="","",0.613*'Presión de Viento'!$C$20*B60*'Presión de Viento'!$C$22*'Presión de Viento'!$C$23*'Presión de Viento'!$C$18^2/9.80665)</f>
        <v>51.001311280655663</v>
      </c>
      <c r="E60" s="176" t="s">
        <v>255</v>
      </c>
      <c r="F60" s="175">
        <f t="shared" si="0"/>
        <v>51.001311280655663</v>
      </c>
      <c r="N60"/>
      <c r="O60"/>
      <c r="R60"/>
      <c r="S60"/>
      <c r="T60"/>
      <c r="U60"/>
      <c r="V60"/>
      <c r="W60"/>
      <c r="X60"/>
    </row>
    <row r="61" spans="1:24">
      <c r="A61" s="166">
        <f>IF((ROW()-16)*0.1&gt;'Presión de Viento'!$C$9,"",(ROW()-16)*0.1)</f>
        <v>4.5</v>
      </c>
      <c r="B61" s="167">
        <f>IF(A61="","",2.41*(MAX(A61,'Presión de Viento'!$C$35)/'Presión de Viento'!$C$34)^(2/'Presión de Viento'!$C$33))</f>
        <v>0.70580334007468215</v>
      </c>
      <c r="C61" s="166">
        <f>IF(A61="","",0.613*'Presión de Viento'!$C$20*B61*'Presión de Viento'!$C$22*'Presión de Viento'!$C$23*'Presión de Viento'!$C$18^2/9.80665)</f>
        <v>51.001311280655663</v>
      </c>
      <c r="E61" s="176" t="s">
        <v>256</v>
      </c>
      <c r="F61" s="175">
        <f t="shared" si="0"/>
        <v>51.001311280655663</v>
      </c>
      <c r="N61"/>
      <c r="O61"/>
      <c r="R61"/>
      <c r="S61"/>
      <c r="T61"/>
      <c r="U61"/>
      <c r="V61"/>
      <c r="W61"/>
      <c r="X61"/>
    </row>
    <row r="62" spans="1:24">
      <c r="A62" s="166">
        <f>IF((ROW()-16)*0.1&gt;'Presión de Viento'!$C$9,"",(ROW()-16)*0.1)</f>
        <v>4.6000000000000005</v>
      </c>
      <c r="B62" s="167">
        <f>IF(A62="","",2.41*(MAX(A62,'Presión de Viento'!$C$35)/'Presión de Viento'!$C$34)^(2/'Presión de Viento'!$C$33))</f>
        <v>0.70580334007468215</v>
      </c>
      <c r="C62" s="166">
        <f>IF(A62="","",0.613*'Presión de Viento'!$C$20*B62*'Presión de Viento'!$C$22*'Presión de Viento'!$C$23*'Presión de Viento'!$C$18^2/9.80665)</f>
        <v>51.001311280655663</v>
      </c>
      <c r="E62" s="176" t="s">
        <v>257</v>
      </c>
      <c r="F62" s="175">
        <f t="shared" si="0"/>
        <v>51.001311280655663</v>
      </c>
      <c r="N62"/>
      <c r="O62"/>
      <c r="R62"/>
      <c r="S62"/>
      <c r="T62"/>
      <c r="U62"/>
      <c r="V62"/>
      <c r="W62"/>
      <c r="X62"/>
    </row>
    <row r="63" spans="1:24">
      <c r="A63" s="166">
        <f>IF((ROW()-16)*0.1&gt;'Presión de Viento'!$C$9,"",(ROW()-16)*0.1)</f>
        <v>4.7</v>
      </c>
      <c r="B63" s="167">
        <f>IF(A63="","",2.41*(MAX(A63,'Presión de Viento'!$C$35)/'Presión de Viento'!$C$34)^(2/'Presión de Viento'!$C$33))</f>
        <v>0.70580334007468215</v>
      </c>
      <c r="C63" s="166">
        <f>IF(A63="","",0.613*'Presión de Viento'!$C$20*B63*'Presión de Viento'!$C$22*'Presión de Viento'!$C$23*'Presión de Viento'!$C$18^2/9.80665)</f>
        <v>51.001311280655663</v>
      </c>
      <c r="E63" s="176" t="s">
        <v>258</v>
      </c>
      <c r="F63" s="175">
        <f t="shared" si="0"/>
        <v>51.001311280655663</v>
      </c>
      <c r="N63"/>
      <c r="O63"/>
      <c r="R63"/>
      <c r="S63"/>
      <c r="T63"/>
      <c r="U63"/>
      <c r="V63"/>
      <c r="W63"/>
      <c r="X63"/>
    </row>
    <row r="64" spans="1:24">
      <c r="A64" s="166">
        <f>IF((ROW()-16)*0.1&gt;'Presión de Viento'!$C$9,"",(ROW()-16)*0.1)</f>
        <v>4.8000000000000007</v>
      </c>
      <c r="B64" s="167">
        <f>IF(A64="","",2.41*(MAX(A64,'Presión de Viento'!$C$35)/'Presión de Viento'!$C$34)^(2/'Presión de Viento'!$C$33))</f>
        <v>0.70580334007468215</v>
      </c>
      <c r="C64" s="166">
        <f>IF(A64="","",0.613*'Presión de Viento'!$C$20*B64*'Presión de Viento'!$C$22*'Presión de Viento'!$C$23*'Presión de Viento'!$C$18^2/9.80665)</f>
        <v>51.001311280655663</v>
      </c>
      <c r="E64" s="176" t="s">
        <v>259</v>
      </c>
      <c r="F64" s="175">
        <f t="shared" si="0"/>
        <v>51.001311280655663</v>
      </c>
      <c r="N64"/>
      <c r="O64"/>
      <c r="R64"/>
      <c r="S64"/>
      <c r="T64"/>
      <c r="U64"/>
      <c r="V64"/>
      <c r="W64"/>
      <c r="X64"/>
    </row>
    <row r="65" spans="1:24">
      <c r="A65" s="166">
        <f>IF((ROW()-16)*0.1&gt;'Presión de Viento'!$C$9,"",(ROW()-16)*0.1)</f>
        <v>4.9000000000000004</v>
      </c>
      <c r="B65" s="167">
        <f>IF(A65="","",2.41*(MAX(A65,'Presión de Viento'!$C$35)/'Presión de Viento'!$C$34)^(2/'Presión de Viento'!$C$33))</f>
        <v>0.70580334007468215</v>
      </c>
      <c r="C65" s="166">
        <f>IF(A65="","",0.613*'Presión de Viento'!$C$20*B65*'Presión de Viento'!$C$22*'Presión de Viento'!$C$23*'Presión de Viento'!$C$18^2/9.80665)</f>
        <v>51.001311280655663</v>
      </c>
      <c r="E65" s="176" t="s">
        <v>260</v>
      </c>
      <c r="F65" s="175">
        <f t="shared" si="0"/>
        <v>51.001311280655663</v>
      </c>
      <c r="N65"/>
      <c r="O65"/>
      <c r="R65"/>
      <c r="S65"/>
      <c r="T65"/>
      <c r="U65"/>
      <c r="V65"/>
      <c r="W65"/>
      <c r="X65"/>
    </row>
    <row r="66" spans="1:24">
      <c r="A66" s="166">
        <f>IF((ROW()-16)*0.1&gt;'Presión de Viento'!$C$9,"",(ROW()-16)*0.1)</f>
        <v>5</v>
      </c>
      <c r="B66" s="167">
        <f>IF(A66="","",2.41*(MAX(A66,'Presión de Viento'!$C$35)/'Presión de Viento'!$C$34)^(2/'Presión de Viento'!$C$33))</f>
        <v>0.70580334007468215</v>
      </c>
      <c r="C66" s="166">
        <f>IF(A66="","",0.613*'Presión de Viento'!$C$20*B66*'Presión de Viento'!$C$22*'Presión de Viento'!$C$23*'Presión de Viento'!$C$18^2/9.80665)</f>
        <v>51.001311280655663</v>
      </c>
      <c r="E66" s="176" t="s">
        <v>261</v>
      </c>
      <c r="F66" s="175">
        <f t="shared" si="0"/>
        <v>51.001311280655663</v>
      </c>
      <c r="N66"/>
      <c r="O66"/>
      <c r="R66"/>
      <c r="S66"/>
      <c r="T66"/>
      <c r="U66"/>
      <c r="V66"/>
      <c r="W66"/>
      <c r="X66"/>
    </row>
    <row r="67" spans="1:24">
      <c r="A67" s="166">
        <f>IF((ROW()-16)*0.1&gt;'Presión de Viento'!$C$9,"",(ROW()-16)*0.1)</f>
        <v>5.1000000000000005</v>
      </c>
      <c r="B67" s="167">
        <f>IF(A67="","",2.41*(MAX(A67,'Presión de Viento'!$C$35)/'Presión de Viento'!$C$34)^(2/'Presión de Viento'!$C$33))</f>
        <v>0.70580334007468215</v>
      </c>
      <c r="C67" s="166">
        <f>IF(A67="","",0.613*'Presión de Viento'!$C$20*B67*'Presión de Viento'!$C$22*'Presión de Viento'!$C$23*'Presión de Viento'!$C$18^2/9.80665)</f>
        <v>51.001311280655663</v>
      </c>
      <c r="E67" s="176" t="s">
        <v>262</v>
      </c>
      <c r="F67" s="175">
        <f t="shared" si="0"/>
        <v>51.001311280655663</v>
      </c>
      <c r="N67"/>
      <c r="O67"/>
      <c r="R67"/>
      <c r="S67"/>
      <c r="T67"/>
      <c r="U67"/>
      <c r="V67"/>
      <c r="W67"/>
      <c r="X67"/>
    </row>
    <row r="68" spans="1:24">
      <c r="A68" s="166">
        <f>IF((ROW()-16)*0.1&gt;'Presión de Viento'!$C$9,"",(ROW()-16)*0.1)</f>
        <v>5.2</v>
      </c>
      <c r="B68" s="167">
        <f>IF(A68="","",2.41*(MAX(A68,'Presión de Viento'!$C$35)/'Presión de Viento'!$C$34)^(2/'Presión de Viento'!$C$33))</f>
        <v>0.70580334007468215</v>
      </c>
      <c r="C68" s="166">
        <f>IF(A68="","",0.613*'Presión de Viento'!$C$20*B68*'Presión de Viento'!$C$22*'Presión de Viento'!$C$23*'Presión de Viento'!$C$18^2/9.80665)</f>
        <v>51.001311280655663</v>
      </c>
      <c r="E68" s="176" t="s">
        <v>263</v>
      </c>
      <c r="F68" s="175">
        <f t="shared" si="0"/>
        <v>51.001311280655663</v>
      </c>
      <c r="N68"/>
      <c r="O68"/>
      <c r="R68"/>
      <c r="S68"/>
      <c r="T68"/>
      <c r="U68"/>
      <c r="V68"/>
      <c r="W68"/>
      <c r="X68"/>
    </row>
    <row r="69" spans="1:24">
      <c r="A69" s="166">
        <f>IF((ROW()-16)*0.1&gt;'Presión de Viento'!$C$9,"",(ROW()-16)*0.1)</f>
        <v>5.3000000000000007</v>
      </c>
      <c r="B69" s="167">
        <f>IF(A69="","",2.41*(MAX(A69,'Presión de Viento'!$C$35)/'Presión de Viento'!$C$34)^(2/'Presión de Viento'!$C$33))</f>
        <v>0.70580334007468215</v>
      </c>
      <c r="C69" s="166">
        <f>IF(A69="","",0.613*'Presión de Viento'!$C$20*B69*'Presión de Viento'!$C$22*'Presión de Viento'!$C$23*'Presión de Viento'!$C$18^2/9.80665)</f>
        <v>51.001311280655663</v>
      </c>
      <c r="E69" s="176" t="s">
        <v>264</v>
      </c>
      <c r="F69" s="175">
        <f t="shared" si="0"/>
        <v>51.001311280655663</v>
      </c>
      <c r="N69"/>
      <c r="O69"/>
      <c r="R69"/>
      <c r="S69"/>
      <c r="T69"/>
      <c r="U69"/>
      <c r="V69"/>
      <c r="W69"/>
      <c r="X69"/>
    </row>
    <row r="70" spans="1:24">
      <c r="A70" s="166">
        <f>IF((ROW()-16)*0.1&gt;'Presión de Viento'!$C$9,"",(ROW()-16)*0.1)</f>
        <v>5.4</v>
      </c>
      <c r="B70" s="167">
        <f>IF(A70="","",2.41*(MAX(A70,'Presión de Viento'!$C$35)/'Presión de Viento'!$C$34)^(2/'Presión de Viento'!$C$33))</f>
        <v>0.70580334007468215</v>
      </c>
      <c r="C70" s="166">
        <f>IF(A70="","",0.613*'Presión de Viento'!$C$20*B70*'Presión de Viento'!$C$22*'Presión de Viento'!$C$23*'Presión de Viento'!$C$18^2/9.80665)</f>
        <v>51.001311280655663</v>
      </c>
      <c r="E70" s="176" t="s">
        <v>265</v>
      </c>
      <c r="F70" s="175">
        <f t="shared" si="0"/>
        <v>51.001311280655663</v>
      </c>
      <c r="N70"/>
      <c r="O70"/>
      <c r="R70"/>
      <c r="S70"/>
      <c r="T70"/>
      <c r="U70"/>
      <c r="V70"/>
      <c r="W70"/>
      <c r="X70"/>
    </row>
    <row r="71" spans="1:24">
      <c r="A71" s="166">
        <f>IF((ROW()-16)*0.1&gt;'Presión de Viento'!$C$9,"",(ROW()-16)*0.1)</f>
        <v>5.5</v>
      </c>
      <c r="B71" s="167">
        <f>IF(A71="","",2.41*(MAX(A71,'Presión de Viento'!$C$35)/'Presión de Viento'!$C$34)^(2/'Presión de Viento'!$C$33))</f>
        <v>0.70580334007468215</v>
      </c>
      <c r="C71" s="166">
        <f>IF(A71="","",0.613*'Presión de Viento'!$C$20*B71*'Presión de Viento'!$C$22*'Presión de Viento'!$C$23*'Presión de Viento'!$C$18^2/9.80665)</f>
        <v>51.001311280655663</v>
      </c>
      <c r="E71" s="176" t="s">
        <v>266</v>
      </c>
      <c r="F71" s="175">
        <f t="shared" si="0"/>
        <v>51.001311280655663</v>
      </c>
      <c r="N71"/>
      <c r="O71"/>
      <c r="R71"/>
      <c r="S71"/>
      <c r="T71"/>
      <c r="U71"/>
      <c r="V71"/>
      <c r="W71"/>
      <c r="X71"/>
    </row>
    <row r="72" spans="1:24">
      <c r="A72" s="166">
        <f>IF((ROW()-16)*0.1&gt;'Presión de Viento'!$C$9,"",(ROW()-16)*0.1)</f>
        <v>5.6000000000000005</v>
      </c>
      <c r="B72" s="167">
        <f>IF(A72="","",2.41*(MAX(A72,'Presión de Viento'!$C$35)/'Presión de Viento'!$C$34)^(2/'Presión de Viento'!$C$33))</f>
        <v>0.70580334007468215</v>
      </c>
      <c r="C72" s="166">
        <f>IF(A72="","",0.613*'Presión de Viento'!$C$20*B72*'Presión de Viento'!$C$22*'Presión de Viento'!$C$23*'Presión de Viento'!$C$18^2/9.80665)</f>
        <v>51.001311280655663</v>
      </c>
      <c r="E72" s="176" t="s">
        <v>267</v>
      </c>
      <c r="F72" s="175">
        <f t="shared" si="0"/>
        <v>51.001311280655663</v>
      </c>
      <c r="N72"/>
      <c r="O72"/>
      <c r="R72"/>
      <c r="S72"/>
      <c r="T72"/>
      <c r="U72"/>
      <c r="V72"/>
      <c r="W72"/>
      <c r="X72"/>
    </row>
    <row r="73" spans="1:24">
      <c r="A73" s="166">
        <f>IF((ROW()-16)*0.1&gt;'Presión de Viento'!$C$9,"",(ROW()-16)*0.1)</f>
        <v>5.7</v>
      </c>
      <c r="B73" s="167">
        <f>IF(A73="","",2.41*(MAX(A73,'Presión de Viento'!$C$35)/'Presión de Viento'!$C$34)^(2/'Presión de Viento'!$C$33))</f>
        <v>0.70580334007468215</v>
      </c>
      <c r="C73" s="166">
        <f>IF(A73="","",0.613*'Presión de Viento'!$C$20*B73*'Presión de Viento'!$C$22*'Presión de Viento'!$C$23*'Presión de Viento'!$C$18^2/9.80665)</f>
        <v>51.001311280655663</v>
      </c>
      <c r="E73" s="176" t="s">
        <v>268</v>
      </c>
      <c r="F73" s="175">
        <f t="shared" si="0"/>
        <v>51.001311280655663</v>
      </c>
      <c r="N73"/>
      <c r="O73"/>
      <c r="R73"/>
      <c r="S73"/>
      <c r="T73"/>
      <c r="U73"/>
      <c r="V73"/>
      <c r="W73"/>
      <c r="X73"/>
    </row>
    <row r="74" spans="1:24">
      <c r="A74" s="166">
        <f>IF((ROW()-16)*0.1&gt;'Presión de Viento'!$C$9,"",(ROW()-16)*0.1)</f>
        <v>5.8000000000000007</v>
      </c>
      <c r="B74" s="167">
        <f>IF(A74="","",2.41*(MAX(A74,'Presión de Viento'!$C$35)/'Presión de Viento'!$C$34)^(2/'Presión de Viento'!$C$33))</f>
        <v>0.70580334007468215</v>
      </c>
      <c r="C74" s="166">
        <f>IF(A74="","",0.613*'Presión de Viento'!$C$20*B74*'Presión de Viento'!$C$22*'Presión de Viento'!$C$23*'Presión de Viento'!$C$18^2/9.80665)</f>
        <v>51.001311280655663</v>
      </c>
      <c r="E74" s="176" t="s">
        <v>269</v>
      </c>
      <c r="F74" s="175">
        <f t="shared" si="0"/>
        <v>51.001311280655663</v>
      </c>
      <c r="N74"/>
      <c r="O74"/>
      <c r="R74"/>
      <c r="S74"/>
      <c r="T74"/>
      <c r="U74"/>
      <c r="V74"/>
      <c r="W74"/>
      <c r="X74"/>
    </row>
    <row r="75" spans="1:24">
      <c r="A75" s="166">
        <f>IF((ROW()-16)*0.1&gt;'Presión de Viento'!$C$9,"",(ROW()-16)*0.1)</f>
        <v>5.9</v>
      </c>
      <c r="B75" s="167">
        <f>IF(A75="","",2.41*(MAX(A75,'Presión de Viento'!$C$35)/'Presión de Viento'!$C$34)^(2/'Presión de Viento'!$C$33))</f>
        <v>0.70580334007468215</v>
      </c>
      <c r="C75" s="166">
        <f>IF(A75="","",0.613*'Presión de Viento'!$C$20*B75*'Presión de Viento'!$C$22*'Presión de Viento'!$C$23*'Presión de Viento'!$C$18^2/9.80665)</f>
        <v>51.001311280655663</v>
      </c>
      <c r="E75" s="176" t="s">
        <v>270</v>
      </c>
      <c r="F75" s="175">
        <f t="shared" si="0"/>
        <v>51.001311280655663</v>
      </c>
      <c r="N75"/>
      <c r="O75"/>
      <c r="R75"/>
      <c r="S75"/>
      <c r="T75"/>
      <c r="U75"/>
      <c r="V75"/>
      <c r="W75"/>
      <c r="X75"/>
    </row>
    <row r="76" spans="1:24">
      <c r="A76" s="166">
        <f>IF((ROW()-16)*0.1&gt;'Presión de Viento'!$C$9,"",(ROW()-16)*0.1)</f>
        <v>6</v>
      </c>
      <c r="B76" s="167">
        <f>IF(A76="","",2.41*(MAX(A76,'Presión de Viento'!$C$35)/'Presión de Viento'!$C$34)^(2/'Presión de Viento'!$C$33))</f>
        <v>0.70580334007468215</v>
      </c>
      <c r="C76" s="166">
        <f>IF(A76="","",0.613*'Presión de Viento'!$C$20*B76*'Presión de Viento'!$C$22*'Presión de Viento'!$C$23*'Presión de Viento'!$C$18^2/9.80665)</f>
        <v>51.001311280655663</v>
      </c>
      <c r="E76" s="176" t="s">
        <v>271</v>
      </c>
      <c r="F76" s="175">
        <f t="shared" si="0"/>
        <v>51.001311280655663</v>
      </c>
      <c r="N76"/>
      <c r="O76"/>
      <c r="R76"/>
      <c r="S76"/>
      <c r="T76"/>
      <c r="U76"/>
      <c r="V76"/>
      <c r="W76"/>
      <c r="X76"/>
    </row>
    <row r="77" spans="1:24">
      <c r="A77" s="166">
        <f>IF((ROW()-16)*0.1&gt;'Presión de Viento'!$C$9,"",(ROW()-16)*0.1)</f>
        <v>6.1000000000000005</v>
      </c>
      <c r="B77" s="167">
        <f>IF(A77="","",2.41*(MAX(A77,'Presión de Viento'!$C$35)/'Presión de Viento'!$C$34)^(2/'Presión de Viento'!$C$33))</f>
        <v>0.70580334007468215</v>
      </c>
      <c r="C77" s="166">
        <f>IF(A77="","",0.613*'Presión de Viento'!$C$20*B77*'Presión de Viento'!$C$22*'Presión de Viento'!$C$23*'Presión de Viento'!$C$18^2/9.80665)</f>
        <v>51.001311280655663</v>
      </c>
      <c r="E77" s="176" t="s">
        <v>272</v>
      </c>
      <c r="F77" s="175">
        <f t="shared" si="0"/>
        <v>51.001311280655663</v>
      </c>
      <c r="N77"/>
      <c r="O77"/>
      <c r="R77"/>
      <c r="S77"/>
      <c r="T77"/>
      <c r="U77"/>
      <c r="V77"/>
      <c r="W77"/>
      <c r="X77"/>
    </row>
    <row r="78" spans="1:24">
      <c r="A78" s="166">
        <f>IF((ROW()-16)*0.1&gt;'Presión de Viento'!$C$9,"",(ROW()-16)*0.1)</f>
        <v>6.2</v>
      </c>
      <c r="B78" s="167">
        <f>IF(A78="","",2.41*(MAX(A78,'Presión de Viento'!$C$35)/'Presión de Viento'!$C$34)^(2/'Presión de Viento'!$C$33))</f>
        <v>0.70580334007468215</v>
      </c>
      <c r="C78" s="166">
        <f>IF(A78="","",0.613*'Presión de Viento'!$C$20*B78*'Presión de Viento'!$C$22*'Presión de Viento'!$C$23*'Presión de Viento'!$C$18^2/9.80665)</f>
        <v>51.001311280655663</v>
      </c>
      <c r="E78" s="176" t="s">
        <v>273</v>
      </c>
      <c r="F78" s="175">
        <f t="shared" si="0"/>
        <v>51.001311280655663</v>
      </c>
      <c r="N78"/>
      <c r="O78"/>
      <c r="R78"/>
      <c r="S78"/>
      <c r="T78"/>
      <c r="U78"/>
      <c r="V78"/>
      <c r="W78"/>
      <c r="X78"/>
    </row>
    <row r="79" spans="1:24">
      <c r="A79" s="166">
        <f>IF((ROW()-16)*0.1&gt;'Presión de Viento'!$C$9,"",(ROW()-16)*0.1)</f>
        <v>6.3000000000000007</v>
      </c>
      <c r="B79" s="167">
        <f>IF(A79="","",2.41*(MAX(A79,'Presión de Viento'!$C$35)/'Presión de Viento'!$C$34)^(2/'Presión de Viento'!$C$33))</f>
        <v>0.70580334007468215</v>
      </c>
      <c r="C79" s="166">
        <f>IF(A79="","",0.613*'Presión de Viento'!$C$20*B79*'Presión de Viento'!$C$22*'Presión de Viento'!$C$23*'Presión de Viento'!$C$18^2/9.80665)</f>
        <v>51.001311280655663</v>
      </c>
      <c r="E79" s="176" t="s">
        <v>274</v>
      </c>
      <c r="F79" s="175">
        <f t="shared" si="0"/>
        <v>51.001311280655663</v>
      </c>
      <c r="N79"/>
      <c r="O79"/>
      <c r="R79"/>
      <c r="S79"/>
      <c r="T79"/>
      <c r="U79"/>
      <c r="V79"/>
      <c r="W79"/>
      <c r="X79"/>
    </row>
    <row r="80" spans="1:24">
      <c r="A80" s="166">
        <f>IF((ROW()-16)*0.1&gt;'Presión de Viento'!$C$9,"",(ROW()-16)*0.1)</f>
        <v>6.4</v>
      </c>
      <c r="B80" s="167">
        <f>IF(A80="","",2.41*(MAX(A80,'Presión de Viento'!$C$35)/'Presión de Viento'!$C$34)^(2/'Presión de Viento'!$C$33))</f>
        <v>0.70580334007468215</v>
      </c>
      <c r="C80" s="166">
        <f>IF(A80="","",0.613*'Presión de Viento'!$C$20*B80*'Presión de Viento'!$C$22*'Presión de Viento'!$C$23*'Presión de Viento'!$C$18^2/9.80665)</f>
        <v>51.001311280655663</v>
      </c>
      <c r="E80" s="176" t="s">
        <v>275</v>
      </c>
      <c r="F80" s="175">
        <f t="shared" si="0"/>
        <v>51.001311280655663</v>
      </c>
      <c r="N80"/>
      <c r="O80"/>
      <c r="R80"/>
      <c r="S80"/>
      <c r="T80"/>
      <c r="U80"/>
      <c r="V80"/>
      <c r="W80"/>
      <c r="X80"/>
    </row>
    <row r="81" spans="1:24">
      <c r="A81" s="166">
        <f>IF((ROW()-16)*0.1&gt;'Presión de Viento'!$C$9,"",(ROW()-16)*0.1)</f>
        <v>6.5</v>
      </c>
      <c r="B81" s="167">
        <f>IF(A81="","",2.41*(MAX(A81,'Presión de Viento'!$C$35)/'Presión de Viento'!$C$34)^(2/'Presión de Viento'!$C$33))</f>
        <v>0.70580334007468215</v>
      </c>
      <c r="C81" s="166">
        <f>IF(A81="","",0.613*'Presión de Viento'!$C$20*B81*'Presión de Viento'!$C$22*'Presión de Viento'!$C$23*'Presión de Viento'!$C$18^2/9.80665)</f>
        <v>51.001311280655663</v>
      </c>
      <c r="E81" s="176" t="s">
        <v>276</v>
      </c>
      <c r="F81" s="175">
        <f t="shared" ref="F81:F144" si="1">IF(A81="",0,C81)</f>
        <v>51.001311280655663</v>
      </c>
      <c r="N81"/>
      <c r="O81"/>
      <c r="R81"/>
      <c r="S81"/>
      <c r="T81"/>
      <c r="U81"/>
      <c r="V81"/>
      <c r="W81"/>
      <c r="X81"/>
    </row>
    <row r="82" spans="1:24">
      <c r="A82" s="166">
        <f>IF((ROW()-16)*0.1&gt;'Presión de Viento'!$C$9,"",(ROW()-16)*0.1)</f>
        <v>6.6000000000000005</v>
      </c>
      <c r="B82" s="167">
        <f>IF(A82="","",2.41*(MAX(A82,'Presión de Viento'!$C$35)/'Presión de Viento'!$C$34)^(2/'Presión de Viento'!$C$33))</f>
        <v>0.70580334007468215</v>
      </c>
      <c r="C82" s="166">
        <f>IF(A82="","",0.613*'Presión de Viento'!$C$20*B82*'Presión de Viento'!$C$22*'Presión de Viento'!$C$23*'Presión de Viento'!$C$18^2/9.80665)</f>
        <v>51.001311280655663</v>
      </c>
      <c r="E82" s="176" t="s">
        <v>277</v>
      </c>
      <c r="F82" s="175">
        <f t="shared" si="1"/>
        <v>51.001311280655663</v>
      </c>
      <c r="N82"/>
      <c r="O82"/>
      <c r="R82"/>
      <c r="S82"/>
      <c r="T82"/>
      <c r="U82"/>
      <c r="V82"/>
      <c r="W82"/>
      <c r="X82"/>
    </row>
    <row r="83" spans="1:24">
      <c r="A83" s="166">
        <f>IF((ROW()-16)*0.1&gt;'Presión de Viento'!$C$9,"",(ROW()-16)*0.1)</f>
        <v>6.7</v>
      </c>
      <c r="B83" s="167">
        <f>IF(A83="","",2.41*(MAX(A83,'Presión de Viento'!$C$35)/'Presión de Viento'!$C$34)^(2/'Presión de Viento'!$C$33))</f>
        <v>0.70580334007468215</v>
      </c>
      <c r="C83" s="166">
        <f>IF(A83="","",0.613*'Presión de Viento'!$C$20*B83*'Presión de Viento'!$C$22*'Presión de Viento'!$C$23*'Presión de Viento'!$C$18^2/9.80665)</f>
        <v>51.001311280655663</v>
      </c>
      <c r="E83" s="176" t="s">
        <v>278</v>
      </c>
      <c r="F83" s="175">
        <f t="shared" si="1"/>
        <v>51.001311280655663</v>
      </c>
      <c r="N83"/>
      <c r="O83"/>
      <c r="R83"/>
      <c r="S83"/>
      <c r="T83"/>
      <c r="U83"/>
      <c r="V83"/>
      <c r="W83"/>
      <c r="X83"/>
    </row>
    <row r="84" spans="1:24">
      <c r="A84" s="166">
        <f>IF((ROW()-16)*0.1&gt;'Presión de Viento'!$C$9,"",(ROW()-16)*0.1)</f>
        <v>6.8000000000000007</v>
      </c>
      <c r="B84" s="167">
        <f>IF(A84="","",2.41*(MAX(A84,'Presión de Viento'!$C$35)/'Presión de Viento'!$C$34)^(2/'Presión de Viento'!$C$33))</f>
        <v>0.70580334007468215</v>
      </c>
      <c r="C84" s="166">
        <f>IF(A84="","",0.613*'Presión de Viento'!$C$20*B84*'Presión de Viento'!$C$22*'Presión de Viento'!$C$23*'Presión de Viento'!$C$18^2/9.80665)</f>
        <v>51.001311280655663</v>
      </c>
      <c r="E84" s="176" t="s">
        <v>279</v>
      </c>
      <c r="F84" s="175">
        <f t="shared" si="1"/>
        <v>51.001311280655663</v>
      </c>
      <c r="N84"/>
      <c r="O84"/>
      <c r="R84"/>
      <c r="S84"/>
      <c r="T84"/>
      <c r="U84"/>
      <c r="V84"/>
      <c r="W84"/>
      <c r="X84"/>
    </row>
    <row r="85" spans="1:24">
      <c r="A85" s="166">
        <f>IF((ROW()-16)*0.1&gt;'Presión de Viento'!$C$9,"",(ROW()-16)*0.1)</f>
        <v>6.9</v>
      </c>
      <c r="B85" s="167">
        <f>IF(A85="","",2.41*(MAX(A85,'Presión de Viento'!$C$35)/'Presión de Viento'!$C$34)^(2/'Presión de Viento'!$C$33))</f>
        <v>0.70580334007468215</v>
      </c>
      <c r="C85" s="166">
        <f>IF(A85="","",0.613*'Presión de Viento'!$C$20*B85*'Presión de Viento'!$C$22*'Presión de Viento'!$C$23*'Presión de Viento'!$C$18^2/9.80665)</f>
        <v>51.001311280655663</v>
      </c>
      <c r="E85" s="176" t="s">
        <v>280</v>
      </c>
      <c r="F85" s="175">
        <f t="shared" si="1"/>
        <v>51.001311280655663</v>
      </c>
      <c r="N85"/>
      <c r="O85"/>
      <c r="R85"/>
      <c r="S85"/>
      <c r="T85"/>
      <c r="U85"/>
      <c r="V85"/>
      <c r="W85"/>
      <c r="X85"/>
    </row>
    <row r="86" spans="1:24">
      <c r="A86" s="166">
        <f>IF((ROW()-16)*0.1&gt;'Presión de Viento'!$C$9,"",(ROW()-16)*0.1)</f>
        <v>7</v>
      </c>
      <c r="B86" s="167">
        <f>IF(A86="","",2.41*(MAX(A86,'Presión de Viento'!$C$35)/'Presión de Viento'!$C$34)^(2/'Presión de Viento'!$C$33))</f>
        <v>0.70580334007468215</v>
      </c>
      <c r="C86" s="166">
        <f>IF(A86="","",0.613*'Presión de Viento'!$C$20*B86*'Presión de Viento'!$C$22*'Presión de Viento'!$C$23*'Presión de Viento'!$C$18^2/9.80665)</f>
        <v>51.001311280655663</v>
      </c>
      <c r="E86" s="176" t="s">
        <v>281</v>
      </c>
      <c r="F86" s="175">
        <f t="shared" si="1"/>
        <v>51.001311280655663</v>
      </c>
      <c r="N86"/>
      <c r="O86"/>
      <c r="R86"/>
      <c r="S86"/>
      <c r="T86"/>
      <c r="U86"/>
      <c r="V86"/>
      <c r="W86"/>
      <c r="X86"/>
    </row>
    <row r="87" spans="1:24">
      <c r="A87" s="166">
        <f>IF((ROW()-16)*0.1&gt;'Presión de Viento'!$C$9,"",(ROW()-16)*0.1)</f>
        <v>7.1000000000000005</v>
      </c>
      <c r="B87" s="167">
        <f>IF(A87="","",2.41*(MAX(A87,'Presión de Viento'!$C$35)/'Presión de Viento'!$C$34)^(2/'Presión de Viento'!$C$33))</f>
        <v>0.70580334007468215</v>
      </c>
      <c r="C87" s="166">
        <f>IF(A87="","",0.613*'Presión de Viento'!$C$20*B87*'Presión de Viento'!$C$22*'Presión de Viento'!$C$23*'Presión de Viento'!$C$18^2/9.80665)</f>
        <v>51.001311280655663</v>
      </c>
      <c r="E87" s="176" t="s">
        <v>282</v>
      </c>
      <c r="F87" s="175">
        <f t="shared" si="1"/>
        <v>51.001311280655663</v>
      </c>
      <c r="N87"/>
      <c r="O87"/>
      <c r="R87"/>
      <c r="S87"/>
      <c r="T87"/>
      <c r="U87"/>
      <c r="V87"/>
      <c r="W87"/>
      <c r="X87"/>
    </row>
    <row r="88" spans="1:24">
      <c r="A88" s="166">
        <f>IF((ROW()-16)*0.1&gt;'Presión de Viento'!$C$9,"",(ROW()-16)*0.1)</f>
        <v>7.2</v>
      </c>
      <c r="B88" s="167">
        <f>IF(A88="","",2.41*(MAX(A88,'Presión de Viento'!$C$35)/'Presión de Viento'!$C$34)^(2/'Presión de Viento'!$C$33))</f>
        <v>0.70580334007468215</v>
      </c>
      <c r="C88" s="166">
        <f>IF(A88="","",0.613*'Presión de Viento'!$C$20*B88*'Presión de Viento'!$C$22*'Presión de Viento'!$C$23*'Presión de Viento'!$C$18^2/9.80665)</f>
        <v>51.001311280655663</v>
      </c>
      <c r="E88" s="176" t="s">
        <v>283</v>
      </c>
      <c r="F88" s="175">
        <f t="shared" si="1"/>
        <v>51.001311280655663</v>
      </c>
      <c r="N88"/>
      <c r="O88"/>
      <c r="R88"/>
      <c r="S88"/>
      <c r="T88"/>
      <c r="U88"/>
      <c r="V88"/>
      <c r="W88"/>
      <c r="X88"/>
    </row>
    <row r="89" spans="1:24">
      <c r="A89" s="166">
        <f>IF((ROW()-16)*0.1&gt;'Presión de Viento'!$C$9,"",(ROW()-16)*0.1)</f>
        <v>7.3000000000000007</v>
      </c>
      <c r="B89" s="167">
        <f>IF(A89="","",2.41*(MAX(A89,'Presión de Viento'!$C$35)/'Presión de Viento'!$C$34)^(2/'Presión de Viento'!$C$33))</f>
        <v>0.70580334007468215</v>
      </c>
      <c r="C89" s="166">
        <f>IF(A89="","",0.613*'Presión de Viento'!$C$20*B89*'Presión de Viento'!$C$22*'Presión de Viento'!$C$23*'Presión de Viento'!$C$18^2/9.80665)</f>
        <v>51.001311280655663</v>
      </c>
      <c r="E89" s="176" t="s">
        <v>284</v>
      </c>
      <c r="F89" s="175">
        <f t="shared" si="1"/>
        <v>51.001311280655663</v>
      </c>
      <c r="N89"/>
      <c r="O89"/>
      <c r="R89"/>
      <c r="S89"/>
      <c r="T89"/>
      <c r="U89"/>
      <c r="V89"/>
      <c r="W89"/>
      <c r="X89"/>
    </row>
    <row r="90" spans="1:24">
      <c r="A90" s="166">
        <f>IF((ROW()-16)*0.1&gt;'Presión de Viento'!$C$9,"",(ROW()-16)*0.1)</f>
        <v>7.4</v>
      </c>
      <c r="B90" s="167">
        <f>IF(A90="","",2.41*(MAX(A90,'Presión de Viento'!$C$35)/'Presión de Viento'!$C$34)^(2/'Presión de Viento'!$C$33))</f>
        <v>0.70580334007468215</v>
      </c>
      <c r="C90" s="166">
        <f>IF(A90="","",0.613*'Presión de Viento'!$C$20*B90*'Presión de Viento'!$C$22*'Presión de Viento'!$C$23*'Presión de Viento'!$C$18^2/9.80665)</f>
        <v>51.001311280655663</v>
      </c>
      <c r="E90" s="176" t="s">
        <v>285</v>
      </c>
      <c r="F90" s="175">
        <f t="shared" si="1"/>
        <v>51.001311280655663</v>
      </c>
      <c r="N90"/>
      <c r="O90"/>
      <c r="R90"/>
      <c r="S90"/>
      <c r="T90"/>
      <c r="U90"/>
      <c r="V90"/>
      <c r="W90"/>
      <c r="X90"/>
    </row>
    <row r="91" spans="1:24">
      <c r="A91" s="166">
        <f>IF((ROW()-16)*0.1&gt;'Presión de Viento'!$C$9,"",(ROW()-16)*0.1)</f>
        <v>7.5</v>
      </c>
      <c r="B91" s="167">
        <f>IF(A91="","",2.41*(MAX(A91,'Presión de Viento'!$C$35)/'Presión de Viento'!$C$34)^(2/'Presión de Viento'!$C$33))</f>
        <v>0.70580334007468215</v>
      </c>
      <c r="C91" s="166">
        <f>IF(A91="","",0.613*'Presión de Viento'!$C$20*B91*'Presión de Viento'!$C$22*'Presión de Viento'!$C$23*'Presión de Viento'!$C$18^2/9.80665)</f>
        <v>51.001311280655663</v>
      </c>
      <c r="E91" s="176" t="s">
        <v>286</v>
      </c>
      <c r="F91" s="175">
        <f t="shared" si="1"/>
        <v>51.001311280655663</v>
      </c>
      <c r="N91"/>
      <c r="O91"/>
      <c r="R91"/>
      <c r="S91"/>
      <c r="T91"/>
      <c r="U91"/>
      <c r="V91"/>
      <c r="W91"/>
      <c r="X91"/>
    </row>
    <row r="92" spans="1:24">
      <c r="A92" s="166">
        <f>IF((ROW()-16)*0.1&gt;'Presión de Viento'!$C$9,"",(ROW()-16)*0.1)</f>
        <v>7.6000000000000005</v>
      </c>
      <c r="B92" s="167">
        <f>IF(A92="","",2.41*(MAX(A92,'Presión de Viento'!$C$35)/'Presión de Viento'!$C$34)^(2/'Presión de Viento'!$C$33))</f>
        <v>0.70580334007468215</v>
      </c>
      <c r="C92" s="166">
        <f>IF(A92="","",0.613*'Presión de Viento'!$C$20*B92*'Presión de Viento'!$C$22*'Presión de Viento'!$C$23*'Presión de Viento'!$C$18^2/9.80665)</f>
        <v>51.001311280655663</v>
      </c>
      <c r="E92" s="176" t="s">
        <v>287</v>
      </c>
      <c r="F92" s="175">
        <f t="shared" si="1"/>
        <v>51.001311280655663</v>
      </c>
      <c r="N92"/>
      <c r="O92"/>
      <c r="R92"/>
      <c r="S92"/>
      <c r="T92"/>
      <c r="U92"/>
      <c r="V92"/>
      <c r="W92"/>
      <c r="X92"/>
    </row>
    <row r="93" spans="1:24">
      <c r="A93" s="166">
        <f>IF((ROW()-16)*0.1&gt;'Presión de Viento'!$C$9,"",(ROW()-16)*0.1)</f>
        <v>7.7</v>
      </c>
      <c r="B93" s="167">
        <f>IF(A93="","",2.41*(MAX(A93,'Presión de Viento'!$C$35)/'Presión de Viento'!$C$34)^(2/'Presión de Viento'!$C$33))</f>
        <v>0.70580334007468215</v>
      </c>
      <c r="C93" s="166">
        <f>IF(A93="","",0.613*'Presión de Viento'!$C$20*B93*'Presión de Viento'!$C$22*'Presión de Viento'!$C$23*'Presión de Viento'!$C$18^2/9.80665)</f>
        <v>51.001311280655663</v>
      </c>
      <c r="E93" s="176" t="s">
        <v>288</v>
      </c>
      <c r="F93" s="175">
        <f t="shared" si="1"/>
        <v>51.001311280655663</v>
      </c>
      <c r="N93"/>
      <c r="O93"/>
      <c r="R93"/>
      <c r="S93"/>
      <c r="T93"/>
      <c r="U93"/>
      <c r="V93"/>
      <c r="W93"/>
      <c r="X93"/>
    </row>
    <row r="94" spans="1:24">
      <c r="A94" s="166">
        <f>IF((ROW()-16)*0.1&gt;'Presión de Viento'!$C$9,"",(ROW()-16)*0.1)</f>
        <v>7.8000000000000007</v>
      </c>
      <c r="B94" s="167">
        <f>IF(A94="","",2.41*(MAX(A94,'Presión de Viento'!$C$35)/'Presión de Viento'!$C$34)^(2/'Presión de Viento'!$C$33))</f>
        <v>0.70580334007468215</v>
      </c>
      <c r="C94" s="166">
        <f>IF(A94="","",0.613*'Presión de Viento'!$C$20*B94*'Presión de Viento'!$C$22*'Presión de Viento'!$C$23*'Presión de Viento'!$C$18^2/9.80665)</f>
        <v>51.001311280655663</v>
      </c>
      <c r="E94" s="176" t="s">
        <v>289</v>
      </c>
      <c r="F94" s="175">
        <f t="shared" si="1"/>
        <v>51.001311280655663</v>
      </c>
      <c r="N94"/>
      <c r="O94"/>
      <c r="R94"/>
      <c r="S94"/>
      <c r="T94"/>
      <c r="U94"/>
      <c r="V94"/>
      <c r="W94"/>
      <c r="X94"/>
    </row>
    <row r="95" spans="1:24">
      <c r="A95" s="166">
        <f>IF((ROW()-16)*0.1&gt;'Presión de Viento'!$C$9,"",(ROW()-16)*0.1)</f>
        <v>7.9</v>
      </c>
      <c r="B95" s="167">
        <f>IF(A95="","",2.41*(MAX(A95,'Presión de Viento'!$C$35)/'Presión de Viento'!$C$34)^(2/'Presión de Viento'!$C$33))</f>
        <v>0.70580334007468215</v>
      </c>
      <c r="C95" s="166">
        <f>IF(A95="","",0.613*'Presión de Viento'!$C$20*B95*'Presión de Viento'!$C$22*'Presión de Viento'!$C$23*'Presión de Viento'!$C$18^2/9.80665)</f>
        <v>51.001311280655663</v>
      </c>
      <c r="E95" s="176" t="s">
        <v>290</v>
      </c>
      <c r="F95" s="175">
        <f t="shared" si="1"/>
        <v>51.001311280655663</v>
      </c>
      <c r="N95"/>
      <c r="O95"/>
      <c r="R95"/>
      <c r="S95"/>
      <c r="T95"/>
      <c r="U95"/>
      <c r="V95"/>
      <c r="W95"/>
      <c r="X95"/>
    </row>
    <row r="96" spans="1:24">
      <c r="A96" s="166">
        <f>IF((ROW()-16)*0.1&gt;'Presión de Viento'!$C$9,"",(ROW()-16)*0.1)</f>
        <v>8</v>
      </c>
      <c r="B96" s="167">
        <f>IF(A96="","",2.41*(MAX(A96,'Presión de Viento'!$C$35)/'Presión de Viento'!$C$34)^(2/'Presión de Viento'!$C$33))</f>
        <v>0.70580334007468215</v>
      </c>
      <c r="C96" s="166">
        <f>IF(A96="","",0.613*'Presión de Viento'!$C$20*B96*'Presión de Viento'!$C$22*'Presión de Viento'!$C$23*'Presión de Viento'!$C$18^2/9.80665)</f>
        <v>51.001311280655663</v>
      </c>
      <c r="E96" s="176" t="s">
        <v>291</v>
      </c>
      <c r="F96" s="175">
        <f t="shared" si="1"/>
        <v>51.001311280655663</v>
      </c>
      <c r="N96"/>
      <c r="O96"/>
      <c r="R96"/>
      <c r="S96"/>
      <c r="T96"/>
      <c r="U96"/>
      <c r="V96"/>
      <c r="W96"/>
      <c r="X96"/>
    </row>
    <row r="97" spans="1:24">
      <c r="A97" s="166">
        <f>IF((ROW()-16)*0.1&gt;'Presión de Viento'!$C$9,"",(ROW()-16)*0.1)</f>
        <v>8.1</v>
      </c>
      <c r="B97" s="167">
        <f>IF(A97="","",2.41*(MAX(A97,'Presión de Viento'!$C$35)/'Presión de Viento'!$C$34)^(2/'Presión de Viento'!$C$33))</f>
        <v>0.70580334007468215</v>
      </c>
      <c r="C97" s="166">
        <f>IF(A97="","",0.613*'Presión de Viento'!$C$20*B97*'Presión de Viento'!$C$22*'Presión de Viento'!$C$23*'Presión de Viento'!$C$18^2/9.80665)</f>
        <v>51.001311280655663</v>
      </c>
      <c r="E97" s="176" t="s">
        <v>292</v>
      </c>
      <c r="F97" s="175">
        <f t="shared" si="1"/>
        <v>51.001311280655663</v>
      </c>
      <c r="N97"/>
      <c r="O97"/>
      <c r="R97"/>
      <c r="S97"/>
      <c r="T97"/>
      <c r="U97"/>
      <c r="V97"/>
      <c r="W97"/>
      <c r="X97"/>
    </row>
    <row r="98" spans="1:24">
      <c r="A98" s="166">
        <f>IF((ROW()-16)*0.1&gt;'Presión de Viento'!$C$9,"",(ROW()-16)*0.1)</f>
        <v>8.2000000000000011</v>
      </c>
      <c r="B98" s="167">
        <f>IF(A98="","",2.41*(MAX(A98,'Presión de Viento'!$C$35)/'Presión de Viento'!$C$34)^(2/'Presión de Viento'!$C$33))</f>
        <v>0.70580334007468215</v>
      </c>
      <c r="C98" s="166">
        <f>IF(A98="","",0.613*'Presión de Viento'!$C$20*B98*'Presión de Viento'!$C$22*'Presión de Viento'!$C$23*'Presión de Viento'!$C$18^2/9.80665)</f>
        <v>51.001311280655663</v>
      </c>
      <c r="E98" s="176" t="s">
        <v>293</v>
      </c>
      <c r="F98" s="175">
        <f t="shared" si="1"/>
        <v>51.001311280655663</v>
      </c>
      <c r="N98"/>
      <c r="O98"/>
      <c r="R98"/>
      <c r="S98"/>
      <c r="T98"/>
      <c r="U98"/>
      <c r="V98"/>
      <c r="W98"/>
      <c r="X98"/>
    </row>
    <row r="99" spans="1:24">
      <c r="A99" s="166">
        <f>IF((ROW()-16)*0.1&gt;'Presión de Viento'!$C$9,"",(ROW()-16)*0.1)</f>
        <v>8.3000000000000007</v>
      </c>
      <c r="B99" s="167">
        <f>IF(A99="","",2.41*(MAX(A99,'Presión de Viento'!$C$35)/'Presión de Viento'!$C$34)^(2/'Presión de Viento'!$C$33))</f>
        <v>0.70580334007468215</v>
      </c>
      <c r="C99" s="166">
        <f>IF(A99="","",0.613*'Presión de Viento'!$C$20*B99*'Presión de Viento'!$C$22*'Presión de Viento'!$C$23*'Presión de Viento'!$C$18^2/9.80665)</f>
        <v>51.001311280655663</v>
      </c>
      <c r="E99" s="176" t="s">
        <v>294</v>
      </c>
      <c r="F99" s="175">
        <f t="shared" si="1"/>
        <v>51.001311280655663</v>
      </c>
      <c r="N99"/>
      <c r="O99"/>
      <c r="R99"/>
      <c r="S99"/>
      <c r="T99"/>
      <c r="U99"/>
      <c r="V99"/>
      <c r="W99"/>
      <c r="X99"/>
    </row>
    <row r="100" spans="1:24">
      <c r="A100" s="166">
        <f>IF((ROW()-16)*0.1&gt;'Presión de Viento'!$C$9,"",(ROW()-16)*0.1)</f>
        <v>8.4</v>
      </c>
      <c r="B100" s="167">
        <f>IF(A100="","",2.41*(MAX(A100,'Presión de Viento'!$C$35)/'Presión de Viento'!$C$34)^(2/'Presión de Viento'!$C$33))</f>
        <v>0.70580334007468215</v>
      </c>
      <c r="C100" s="166">
        <f>IF(A100="","",0.613*'Presión de Viento'!$C$20*B100*'Presión de Viento'!$C$22*'Presión de Viento'!$C$23*'Presión de Viento'!$C$18^2/9.80665)</f>
        <v>51.001311280655663</v>
      </c>
      <c r="E100" s="176" t="s">
        <v>295</v>
      </c>
      <c r="F100" s="175">
        <f t="shared" si="1"/>
        <v>51.001311280655663</v>
      </c>
      <c r="N100"/>
      <c r="O100"/>
      <c r="R100"/>
      <c r="S100"/>
      <c r="T100"/>
      <c r="U100"/>
      <c r="V100"/>
      <c r="W100"/>
      <c r="X100"/>
    </row>
    <row r="101" spans="1:24">
      <c r="A101" s="166">
        <f>IF((ROW()-16)*0.1&gt;'Presión de Viento'!$C$9,"",(ROW()-16)*0.1)</f>
        <v>8.5</v>
      </c>
      <c r="B101" s="167">
        <f>IF(A101="","",2.41*(MAX(A101,'Presión de Viento'!$C$35)/'Presión de Viento'!$C$34)^(2/'Presión de Viento'!$C$33))</f>
        <v>0.70580334007468215</v>
      </c>
      <c r="C101" s="166">
        <f>IF(A101="","",0.613*'Presión de Viento'!$C$20*B101*'Presión de Viento'!$C$22*'Presión de Viento'!$C$23*'Presión de Viento'!$C$18^2/9.80665)</f>
        <v>51.001311280655663</v>
      </c>
      <c r="E101" s="176" t="s">
        <v>296</v>
      </c>
      <c r="F101" s="175">
        <f t="shared" si="1"/>
        <v>51.001311280655663</v>
      </c>
      <c r="N101"/>
      <c r="O101"/>
      <c r="R101"/>
      <c r="S101"/>
      <c r="T101"/>
      <c r="U101"/>
      <c r="V101"/>
      <c r="W101"/>
      <c r="X101"/>
    </row>
    <row r="102" spans="1:24">
      <c r="A102" s="166">
        <f>IF((ROW()-16)*0.1&gt;'Presión de Viento'!$C$9,"",(ROW()-16)*0.1)</f>
        <v>8.6</v>
      </c>
      <c r="B102" s="167">
        <f>IF(A102="","",2.41*(MAX(A102,'Presión de Viento'!$C$35)/'Presión de Viento'!$C$34)^(2/'Presión de Viento'!$C$33))</f>
        <v>0.70580334007468215</v>
      </c>
      <c r="C102" s="166">
        <f>IF(A102="","",0.613*'Presión de Viento'!$C$20*B102*'Presión de Viento'!$C$22*'Presión de Viento'!$C$23*'Presión de Viento'!$C$18^2/9.80665)</f>
        <v>51.001311280655663</v>
      </c>
      <c r="E102" s="176" t="s">
        <v>297</v>
      </c>
      <c r="F102" s="175">
        <f t="shared" si="1"/>
        <v>51.001311280655663</v>
      </c>
      <c r="N102"/>
      <c r="O102"/>
      <c r="R102"/>
      <c r="S102"/>
      <c r="T102"/>
      <c r="U102"/>
      <c r="V102"/>
      <c r="W102"/>
      <c r="X102"/>
    </row>
    <row r="103" spans="1:24">
      <c r="A103" s="166">
        <f>IF((ROW()-16)*0.1&gt;'Presión de Viento'!$C$9,"",(ROW()-16)*0.1)</f>
        <v>8.7000000000000011</v>
      </c>
      <c r="B103" s="167">
        <f>IF(A103="","",2.41*(MAX(A103,'Presión de Viento'!$C$35)/'Presión de Viento'!$C$34)^(2/'Presión de Viento'!$C$33))</f>
        <v>0.70580334007468215</v>
      </c>
      <c r="C103" s="166">
        <f>IF(A103="","",0.613*'Presión de Viento'!$C$20*B103*'Presión de Viento'!$C$22*'Presión de Viento'!$C$23*'Presión de Viento'!$C$18^2/9.80665)</f>
        <v>51.001311280655663</v>
      </c>
      <c r="E103" s="176" t="s">
        <v>298</v>
      </c>
      <c r="F103" s="175">
        <f t="shared" si="1"/>
        <v>51.001311280655663</v>
      </c>
      <c r="N103"/>
      <c r="O103"/>
      <c r="R103"/>
      <c r="S103"/>
      <c r="T103"/>
      <c r="U103"/>
      <c r="V103"/>
      <c r="W103"/>
      <c r="X103"/>
    </row>
    <row r="104" spans="1:24">
      <c r="A104" s="166">
        <f>IF((ROW()-16)*0.1&gt;'Presión de Viento'!$C$9,"",(ROW()-16)*0.1)</f>
        <v>8.8000000000000007</v>
      </c>
      <c r="B104" s="167">
        <f>IF(A104="","",2.41*(MAX(A104,'Presión de Viento'!$C$35)/'Presión de Viento'!$C$34)^(2/'Presión de Viento'!$C$33))</f>
        <v>0.70580334007468215</v>
      </c>
      <c r="C104" s="166">
        <f>IF(A104="","",0.613*'Presión de Viento'!$C$20*B104*'Presión de Viento'!$C$22*'Presión de Viento'!$C$23*'Presión de Viento'!$C$18^2/9.80665)</f>
        <v>51.001311280655663</v>
      </c>
      <c r="E104" s="176" t="s">
        <v>299</v>
      </c>
      <c r="F104" s="175">
        <f t="shared" si="1"/>
        <v>51.001311280655663</v>
      </c>
      <c r="N104"/>
      <c r="O104"/>
      <c r="R104"/>
      <c r="S104"/>
      <c r="T104"/>
      <c r="U104"/>
      <c r="V104"/>
      <c r="W104"/>
      <c r="X104"/>
    </row>
    <row r="105" spans="1:24">
      <c r="A105" s="166" t="str">
        <f>IF((ROW()-16)*0.1&gt;'Presión de Viento'!$C$9,"",(ROW()-16)*0.1)</f>
        <v/>
      </c>
      <c r="B105" s="167" t="str">
        <f>IF(A105="","",2.41*(MAX(A105,'Presión de Viento'!$C$35)/'Presión de Viento'!$C$34)^(2/'Presión de Viento'!$C$33))</f>
        <v/>
      </c>
      <c r="C105" s="166" t="str">
        <f>IF(A105="","",0.613*'Presión de Viento'!$C$20*B105*'Presión de Viento'!$C$22*'Presión de Viento'!$C$23*'Presión de Viento'!$C$18^2/9.80665)</f>
        <v/>
      </c>
      <c r="E105" s="176" t="s">
        <v>300</v>
      </c>
      <c r="F105" s="175">
        <f t="shared" si="1"/>
        <v>0</v>
      </c>
      <c r="N105"/>
      <c r="O105"/>
      <c r="R105"/>
      <c r="S105"/>
      <c r="T105"/>
      <c r="U105"/>
      <c r="V105"/>
      <c r="W105"/>
      <c r="X105"/>
    </row>
    <row r="106" spans="1:24">
      <c r="A106" s="166" t="str">
        <f>IF((ROW()-16)*0.1&gt;'Presión de Viento'!$C$9,"",(ROW()-16)*0.1)</f>
        <v/>
      </c>
      <c r="B106" s="167" t="str">
        <f>IF(A106="","",2.41*(MAX(A106,'Presión de Viento'!$C$35)/'Presión de Viento'!$C$34)^(2/'Presión de Viento'!$C$33))</f>
        <v/>
      </c>
      <c r="C106" s="166" t="str">
        <f>IF(A106="","",0.613*'Presión de Viento'!$C$20*B106*'Presión de Viento'!$C$22*'Presión de Viento'!$C$23*'Presión de Viento'!$C$18^2/9.80665)</f>
        <v/>
      </c>
      <c r="E106" s="176" t="s">
        <v>301</v>
      </c>
      <c r="F106" s="175">
        <f t="shared" si="1"/>
        <v>0</v>
      </c>
      <c r="N106"/>
      <c r="O106"/>
      <c r="R106"/>
      <c r="S106"/>
      <c r="T106"/>
      <c r="U106"/>
      <c r="V106"/>
      <c r="W106"/>
      <c r="X106"/>
    </row>
    <row r="107" spans="1:24" ht="22.05" customHeight="1">
      <c r="A107" s="166" t="str">
        <f>IF((ROW()-16)*0.1&gt;'Presión de Viento'!$C$9,"",(ROW()-16)*0.1)</f>
        <v/>
      </c>
      <c r="B107" s="167" t="str">
        <f>IF(A107="","",2.41*(MAX(A107,'Presión de Viento'!$C$35)/'Presión de Viento'!$C$34)^(2/'Presión de Viento'!$C$33))</f>
        <v/>
      </c>
      <c r="C107" s="166" t="str">
        <f>IF(A107="","",0.613*'Presión de Viento'!$C$20*B107*'Presión de Viento'!$C$22*'Presión de Viento'!$C$23*'Presión de Viento'!$C$18^2/9.80665)</f>
        <v/>
      </c>
      <c r="E107" s="176" t="s">
        <v>302</v>
      </c>
      <c r="F107" s="175">
        <f t="shared" si="1"/>
        <v>0</v>
      </c>
      <c r="N107"/>
      <c r="O107"/>
      <c r="R107"/>
      <c r="S107"/>
      <c r="T107"/>
      <c r="U107"/>
      <c r="V107"/>
      <c r="W107"/>
      <c r="X107"/>
    </row>
    <row r="108" spans="1:24">
      <c r="A108" s="166" t="str">
        <f>IF((ROW()-16)*0.1&gt;'Presión de Viento'!$C$9,"",(ROW()-16)*0.1)</f>
        <v/>
      </c>
      <c r="B108" s="167" t="str">
        <f>IF(A108="","",2.41*(MAX(A108,'Presión de Viento'!$C$35)/'Presión de Viento'!$C$34)^(2/'Presión de Viento'!$C$33))</f>
        <v/>
      </c>
      <c r="C108" s="166" t="str">
        <f>IF(A108="","",0.613*'Presión de Viento'!$C$20*B108*'Presión de Viento'!$C$22*'Presión de Viento'!$C$23*'Presión de Viento'!$C$18^2/9.80665)</f>
        <v/>
      </c>
      <c r="E108" s="176" t="s">
        <v>303</v>
      </c>
      <c r="F108" s="175">
        <f t="shared" si="1"/>
        <v>0</v>
      </c>
      <c r="N108"/>
      <c r="O108"/>
      <c r="R108"/>
      <c r="S108"/>
      <c r="T108"/>
      <c r="U108"/>
      <c r="V108"/>
      <c r="W108"/>
      <c r="X108"/>
    </row>
    <row r="109" spans="1:24">
      <c r="A109" s="166" t="str">
        <f>IF((ROW()-16)*0.1&gt;'Presión de Viento'!$C$9,"",(ROW()-16)*0.1)</f>
        <v/>
      </c>
      <c r="B109" s="167" t="str">
        <f>IF(A109="","",2.41*(MAX(A109,'Presión de Viento'!$C$35)/'Presión de Viento'!$C$34)^(2/'Presión de Viento'!$C$33))</f>
        <v/>
      </c>
      <c r="C109" s="166" t="str">
        <f>IF(A109="","",0.613*'Presión de Viento'!$C$20*B109*'Presión de Viento'!$C$22*'Presión de Viento'!$C$23*'Presión de Viento'!$C$18^2/9.80665)</f>
        <v/>
      </c>
      <c r="E109" s="176" t="s">
        <v>304</v>
      </c>
      <c r="F109" s="175">
        <f t="shared" si="1"/>
        <v>0</v>
      </c>
      <c r="N109"/>
      <c r="O109"/>
      <c r="R109"/>
      <c r="S109"/>
      <c r="T109"/>
      <c r="U109"/>
      <c r="V109"/>
      <c r="W109"/>
      <c r="X109"/>
    </row>
    <row r="110" spans="1:24">
      <c r="A110" s="166" t="str">
        <f>IF((ROW()-16)*0.1&gt;'Presión de Viento'!$C$9,"",(ROW()-16)*0.1)</f>
        <v/>
      </c>
      <c r="B110" s="167" t="str">
        <f>IF(A110="","",2.41*(MAX(A110,'Presión de Viento'!$C$35)/'Presión de Viento'!$C$34)^(2/'Presión de Viento'!$C$33))</f>
        <v/>
      </c>
      <c r="C110" s="166" t="str">
        <f>IF(A110="","",0.613*'Presión de Viento'!$C$20*B110*'Presión de Viento'!$C$22*'Presión de Viento'!$C$23*'Presión de Viento'!$C$18^2/9.80665)</f>
        <v/>
      </c>
      <c r="E110" s="176" t="s">
        <v>305</v>
      </c>
      <c r="F110" s="175">
        <f t="shared" si="1"/>
        <v>0</v>
      </c>
      <c r="N110"/>
      <c r="O110"/>
      <c r="R110"/>
      <c r="S110"/>
      <c r="T110"/>
      <c r="U110"/>
      <c r="V110"/>
      <c r="W110"/>
      <c r="X110"/>
    </row>
    <row r="111" spans="1:24">
      <c r="A111" s="166" t="str">
        <f>IF((ROW()-16)*0.1&gt;'Presión de Viento'!$C$9,"",(ROW()-16)*0.1)</f>
        <v/>
      </c>
      <c r="B111" s="167" t="str">
        <f>IF(A111="","",2.41*(MAX(A111,'Presión de Viento'!$C$35)/'Presión de Viento'!$C$34)^(2/'Presión de Viento'!$C$33))</f>
        <v/>
      </c>
      <c r="C111" s="166" t="str">
        <f>IF(A111="","",0.613*'Presión de Viento'!$C$20*B111*'Presión de Viento'!$C$22*'Presión de Viento'!$C$23*'Presión de Viento'!$C$18^2/9.80665)</f>
        <v/>
      </c>
      <c r="E111" s="176" t="s">
        <v>306</v>
      </c>
      <c r="F111" s="175">
        <f t="shared" si="1"/>
        <v>0</v>
      </c>
      <c r="N111"/>
      <c r="O111"/>
      <c r="R111"/>
      <c r="S111"/>
      <c r="T111"/>
      <c r="U111"/>
      <c r="V111"/>
      <c r="W111"/>
      <c r="X111"/>
    </row>
    <row r="112" spans="1:24">
      <c r="A112" s="166" t="str">
        <f>IF((ROW()-16)*0.1&gt;'Presión de Viento'!$C$9,"",(ROW()-16)*0.1)</f>
        <v/>
      </c>
      <c r="B112" s="167" t="str">
        <f>IF(A112="","",2.41*(MAX(A112,'Presión de Viento'!$C$35)/'Presión de Viento'!$C$34)^(2/'Presión de Viento'!$C$33))</f>
        <v/>
      </c>
      <c r="C112" s="166" t="str">
        <f>IF(A112="","",0.613*'Presión de Viento'!$C$20*B112*'Presión de Viento'!$C$22*'Presión de Viento'!$C$23*'Presión de Viento'!$C$18^2/9.80665)</f>
        <v/>
      </c>
      <c r="E112" s="176" t="s">
        <v>307</v>
      </c>
      <c r="F112" s="175">
        <f t="shared" si="1"/>
        <v>0</v>
      </c>
      <c r="N112"/>
      <c r="O112"/>
      <c r="R112"/>
      <c r="S112"/>
      <c r="T112"/>
      <c r="U112"/>
      <c r="V112"/>
      <c r="W112"/>
      <c r="X112"/>
    </row>
    <row r="113" spans="1:24">
      <c r="A113" s="166" t="str">
        <f>IF((ROW()-16)*0.1&gt;'Presión de Viento'!$C$9,"",(ROW()-16)*0.1)</f>
        <v/>
      </c>
      <c r="B113" s="167" t="str">
        <f>IF(A113="","",2.41*(MAX(A113,'Presión de Viento'!$C$35)/'Presión de Viento'!$C$34)^(2/'Presión de Viento'!$C$33))</f>
        <v/>
      </c>
      <c r="C113" s="166" t="str">
        <f>IF(A113="","",0.613*'Presión de Viento'!$C$20*B113*'Presión de Viento'!$C$22*'Presión de Viento'!$C$23*'Presión de Viento'!$C$18^2/9.80665)</f>
        <v/>
      </c>
      <c r="E113" s="176" t="s">
        <v>308</v>
      </c>
      <c r="F113" s="175">
        <f t="shared" si="1"/>
        <v>0</v>
      </c>
      <c r="N113"/>
      <c r="O113"/>
      <c r="R113"/>
      <c r="S113"/>
      <c r="T113"/>
      <c r="U113"/>
      <c r="V113"/>
      <c r="W113"/>
      <c r="X113"/>
    </row>
    <row r="114" spans="1:24">
      <c r="A114" s="166" t="str">
        <f>IF((ROW()-16)*0.1&gt;'Presión de Viento'!$C$9,"",(ROW()-16)*0.1)</f>
        <v/>
      </c>
      <c r="B114" s="167" t="str">
        <f>IF(A114="","",2.41*(MAX(A114,'Presión de Viento'!$C$35)/'Presión de Viento'!$C$34)^(2/'Presión de Viento'!$C$33))</f>
        <v/>
      </c>
      <c r="C114" s="166" t="str">
        <f>IF(A114="","",0.613*'Presión de Viento'!$C$20*B114*'Presión de Viento'!$C$22*'Presión de Viento'!$C$23*'Presión de Viento'!$C$18^2/9.80665)</f>
        <v/>
      </c>
      <c r="E114" s="176" t="s">
        <v>309</v>
      </c>
      <c r="F114" s="175">
        <f t="shared" si="1"/>
        <v>0</v>
      </c>
      <c r="N114"/>
      <c r="O114"/>
      <c r="R114"/>
      <c r="S114"/>
      <c r="T114"/>
      <c r="U114"/>
      <c r="V114"/>
      <c r="W114"/>
      <c r="X114"/>
    </row>
    <row r="115" spans="1:24">
      <c r="A115" s="166" t="str">
        <f>IF((ROW()-16)*0.1&gt;'Presión de Viento'!$C$9,"",(ROW()-16)*0.1)</f>
        <v/>
      </c>
      <c r="B115" s="167" t="str">
        <f>IF(A115="","",2.41*(MAX(A115,'Presión de Viento'!$C$35)/'Presión de Viento'!$C$34)^(2/'Presión de Viento'!$C$33))</f>
        <v/>
      </c>
      <c r="C115" s="166" t="str">
        <f>IF(A115="","",0.613*'Presión de Viento'!$C$20*B115*'Presión de Viento'!$C$22*'Presión de Viento'!$C$23*'Presión de Viento'!$C$18^2/9.80665)</f>
        <v/>
      </c>
      <c r="E115" s="176" t="s">
        <v>310</v>
      </c>
      <c r="F115" s="175">
        <f t="shared" si="1"/>
        <v>0</v>
      </c>
      <c r="N115"/>
      <c r="O115"/>
      <c r="R115"/>
      <c r="S115"/>
      <c r="T115"/>
      <c r="U115"/>
      <c r="V115"/>
      <c r="W115"/>
      <c r="X115"/>
    </row>
    <row r="116" spans="1:24">
      <c r="A116" s="166" t="str">
        <f>IF((ROW()-16)*0.1&gt;'Presión de Viento'!$C$9,"",(ROW()-16)*0.1)</f>
        <v/>
      </c>
      <c r="B116" s="167" t="str">
        <f>IF(A116="","",2.41*(MAX(A116,'Presión de Viento'!$C$35)/'Presión de Viento'!$C$34)^(2/'Presión de Viento'!$C$33))</f>
        <v/>
      </c>
      <c r="C116" s="166" t="str">
        <f>IF(A116="","",0.613*'Presión de Viento'!$C$20*B116*'Presión de Viento'!$C$22*'Presión de Viento'!$C$23*'Presión de Viento'!$C$18^2/9.80665)</f>
        <v/>
      </c>
      <c r="E116" s="176" t="s">
        <v>311</v>
      </c>
      <c r="F116" s="175">
        <f t="shared" si="1"/>
        <v>0</v>
      </c>
      <c r="N116"/>
      <c r="O116"/>
      <c r="R116"/>
      <c r="S116"/>
      <c r="T116"/>
      <c r="U116"/>
      <c r="V116"/>
      <c r="W116"/>
      <c r="X116"/>
    </row>
    <row r="117" spans="1:24">
      <c r="A117" s="166" t="str">
        <f>IF((ROW()-16)*0.1&gt;'Presión de Viento'!$C$9,"",(ROW()-16)*0.1)</f>
        <v/>
      </c>
      <c r="B117" s="167" t="str">
        <f>IF(A117="","",2.41*(MAX(A117,'Presión de Viento'!$C$35)/'Presión de Viento'!$C$34)^(2/'Presión de Viento'!$C$33))</f>
        <v/>
      </c>
      <c r="C117" s="166" t="str">
        <f>IF(A117="","",0.613*'Presión de Viento'!$C$20*B117*'Presión de Viento'!$C$22*'Presión de Viento'!$C$23*'Presión de Viento'!$C$18^2/9.80665)</f>
        <v/>
      </c>
      <c r="E117" s="176" t="s">
        <v>312</v>
      </c>
      <c r="F117" s="175">
        <f t="shared" si="1"/>
        <v>0</v>
      </c>
      <c r="N117"/>
      <c r="O117"/>
      <c r="R117"/>
      <c r="S117"/>
      <c r="T117"/>
      <c r="U117"/>
      <c r="V117"/>
      <c r="W117"/>
      <c r="X117"/>
    </row>
    <row r="118" spans="1:24">
      <c r="A118" s="166" t="str">
        <f>IF((ROW()-16)*0.1&gt;'Presión de Viento'!$C$9,"",(ROW()-16)*0.1)</f>
        <v/>
      </c>
      <c r="B118" s="167" t="str">
        <f>IF(A118="","",2.41*(MAX(A118,'Presión de Viento'!$C$35)/'Presión de Viento'!$C$34)^(2/'Presión de Viento'!$C$33))</f>
        <v/>
      </c>
      <c r="C118" s="166" t="str">
        <f>IF(A118="","",0.613*'Presión de Viento'!$C$20*B118*'Presión de Viento'!$C$22*'Presión de Viento'!$C$23*'Presión de Viento'!$C$18^2/9.80665)</f>
        <v/>
      </c>
      <c r="E118" s="176" t="s">
        <v>313</v>
      </c>
      <c r="F118" s="175">
        <f t="shared" si="1"/>
        <v>0</v>
      </c>
      <c r="N118"/>
      <c r="O118"/>
      <c r="R118"/>
      <c r="S118"/>
      <c r="T118"/>
      <c r="U118"/>
      <c r="V118"/>
      <c r="W118"/>
      <c r="X118"/>
    </row>
    <row r="119" spans="1:24">
      <c r="A119" s="166" t="str">
        <f>IF((ROW()-16)*0.1&gt;'Presión de Viento'!$C$9,"",(ROW()-16)*0.1)</f>
        <v/>
      </c>
      <c r="B119" s="167" t="str">
        <f>IF(A119="","",2.41*(MAX(A119,'Presión de Viento'!$C$35)/'Presión de Viento'!$C$34)^(2/'Presión de Viento'!$C$33))</f>
        <v/>
      </c>
      <c r="C119" s="166" t="str">
        <f>IF(A119="","",0.613*'Presión de Viento'!$C$20*B119*'Presión de Viento'!$C$22*'Presión de Viento'!$C$23*'Presión de Viento'!$C$18^2/9.80665)</f>
        <v/>
      </c>
      <c r="E119" s="176" t="s">
        <v>314</v>
      </c>
      <c r="F119" s="175">
        <f t="shared" si="1"/>
        <v>0</v>
      </c>
      <c r="N119"/>
      <c r="O119"/>
      <c r="R119"/>
      <c r="S119"/>
      <c r="T119"/>
      <c r="U119"/>
      <c r="V119"/>
      <c r="W119"/>
      <c r="X119"/>
    </row>
    <row r="120" spans="1:24">
      <c r="A120" s="166" t="str">
        <f>IF((ROW()-16)*0.1&gt;'Presión de Viento'!$C$9,"",(ROW()-16)*0.1)</f>
        <v/>
      </c>
      <c r="B120" s="167" t="str">
        <f>IF(A120="","",2.41*(MAX(A120,'Presión de Viento'!$C$35)/'Presión de Viento'!$C$34)^(2/'Presión de Viento'!$C$33))</f>
        <v/>
      </c>
      <c r="C120" s="166" t="str">
        <f>IF(A120="","",0.613*'Presión de Viento'!$C$20*B120*'Presión de Viento'!$C$22*'Presión de Viento'!$C$23*'Presión de Viento'!$C$18^2/9.80665)</f>
        <v/>
      </c>
      <c r="E120" s="176" t="s">
        <v>315</v>
      </c>
      <c r="F120" s="175">
        <f t="shared" si="1"/>
        <v>0</v>
      </c>
      <c r="N120"/>
      <c r="O120"/>
      <c r="R120"/>
      <c r="S120"/>
      <c r="T120"/>
      <c r="U120"/>
      <c r="V120"/>
      <c r="W120"/>
      <c r="X120"/>
    </row>
    <row r="121" spans="1:24">
      <c r="A121" s="166" t="str">
        <f>IF((ROW()-16)*0.1&gt;'Presión de Viento'!$C$9,"",(ROW()-16)*0.1)</f>
        <v/>
      </c>
      <c r="B121" s="167" t="str">
        <f>IF(A121="","",2.41*(MAX(A121,'Presión de Viento'!$C$35)/'Presión de Viento'!$C$34)^(2/'Presión de Viento'!$C$33))</f>
        <v/>
      </c>
      <c r="C121" s="166" t="str">
        <f>IF(A121="","",0.613*'Presión de Viento'!$C$20*B121*'Presión de Viento'!$C$22*'Presión de Viento'!$C$23*'Presión de Viento'!$C$18^2/9.80665)</f>
        <v/>
      </c>
      <c r="E121" s="176" t="s">
        <v>316</v>
      </c>
      <c r="F121" s="175">
        <f t="shared" si="1"/>
        <v>0</v>
      </c>
      <c r="N121"/>
      <c r="O121"/>
      <c r="R121"/>
      <c r="S121"/>
      <c r="T121"/>
      <c r="U121"/>
      <c r="V121"/>
      <c r="W121"/>
      <c r="X121"/>
    </row>
    <row r="122" spans="1:24">
      <c r="A122" s="166" t="str">
        <f>IF((ROW()-16)*0.1&gt;'Presión de Viento'!$C$9,"",(ROW()-16)*0.1)</f>
        <v/>
      </c>
      <c r="B122" s="167" t="str">
        <f>IF(A122="","",2.41*(MAX(A122,'Presión de Viento'!$C$35)/'Presión de Viento'!$C$34)^(2/'Presión de Viento'!$C$33))</f>
        <v/>
      </c>
      <c r="C122" s="166" t="str">
        <f>IF(A122="","",0.613*'Presión de Viento'!$C$20*B122*'Presión de Viento'!$C$22*'Presión de Viento'!$C$23*'Presión de Viento'!$C$18^2/9.80665)</f>
        <v/>
      </c>
      <c r="E122" s="176" t="s">
        <v>317</v>
      </c>
      <c r="F122" s="175">
        <f t="shared" si="1"/>
        <v>0</v>
      </c>
      <c r="N122"/>
      <c r="O122"/>
      <c r="R122"/>
      <c r="S122"/>
      <c r="T122"/>
      <c r="U122"/>
      <c r="V122"/>
      <c r="W122"/>
      <c r="X122"/>
    </row>
    <row r="123" spans="1:24">
      <c r="A123" s="166" t="str">
        <f>IF((ROW()-16)*0.1&gt;'Presión de Viento'!$C$9,"",(ROW()-16)*0.1)</f>
        <v/>
      </c>
      <c r="B123" s="167" t="str">
        <f>IF(A123="","",2.41*(MAX(A123,'Presión de Viento'!$C$35)/'Presión de Viento'!$C$34)^(2/'Presión de Viento'!$C$33))</f>
        <v/>
      </c>
      <c r="C123" s="166" t="str">
        <f>IF(A123="","",0.613*'Presión de Viento'!$C$20*B123*'Presión de Viento'!$C$22*'Presión de Viento'!$C$23*'Presión de Viento'!$C$18^2/9.80665)</f>
        <v/>
      </c>
      <c r="E123" s="176" t="s">
        <v>318</v>
      </c>
      <c r="F123" s="175">
        <f t="shared" si="1"/>
        <v>0</v>
      </c>
      <c r="N123"/>
      <c r="O123"/>
      <c r="R123"/>
      <c r="S123"/>
      <c r="T123"/>
      <c r="U123"/>
      <c r="V123"/>
      <c r="W123"/>
      <c r="X123"/>
    </row>
    <row r="124" spans="1:24">
      <c r="A124" s="166" t="str">
        <f>IF((ROW()-16)*0.1&gt;'Presión de Viento'!$C$9,"",(ROW()-16)*0.1)</f>
        <v/>
      </c>
      <c r="B124" s="167" t="str">
        <f>IF(A124="","",2.41*(MAX(A124,'Presión de Viento'!$C$35)/'Presión de Viento'!$C$34)^(2/'Presión de Viento'!$C$33))</f>
        <v/>
      </c>
      <c r="C124" s="166" t="str">
        <f>IF(A124="","",0.613*'Presión de Viento'!$C$20*B124*'Presión de Viento'!$C$22*'Presión de Viento'!$C$23*'Presión de Viento'!$C$18^2/9.80665)</f>
        <v/>
      </c>
      <c r="E124" s="176" t="s">
        <v>319</v>
      </c>
      <c r="F124" s="175">
        <f t="shared" si="1"/>
        <v>0</v>
      </c>
      <c r="N124"/>
      <c r="O124"/>
      <c r="R124"/>
      <c r="S124"/>
      <c r="T124"/>
      <c r="U124"/>
      <c r="V124"/>
      <c r="W124"/>
      <c r="X124"/>
    </row>
    <row r="125" spans="1:24">
      <c r="A125" s="166" t="str">
        <f>IF((ROW()-16)*0.1&gt;'Presión de Viento'!$C$9,"",(ROW()-16)*0.1)</f>
        <v/>
      </c>
      <c r="B125" s="167" t="str">
        <f>IF(A125="","",2.41*(MAX(A125,'Presión de Viento'!$C$35)/'Presión de Viento'!$C$34)^(2/'Presión de Viento'!$C$33))</f>
        <v/>
      </c>
      <c r="C125" s="166" t="str">
        <f>IF(A125="","",0.613*'Presión de Viento'!$C$20*B125*'Presión de Viento'!$C$22*'Presión de Viento'!$C$23*'Presión de Viento'!$C$18^2/9.80665)</f>
        <v/>
      </c>
      <c r="E125" s="176" t="s">
        <v>320</v>
      </c>
      <c r="F125" s="175">
        <f t="shared" si="1"/>
        <v>0</v>
      </c>
      <c r="N125"/>
      <c r="O125"/>
      <c r="R125"/>
      <c r="S125"/>
      <c r="T125"/>
      <c r="U125"/>
      <c r="V125"/>
      <c r="W125"/>
      <c r="X125"/>
    </row>
    <row r="126" spans="1:24">
      <c r="A126" s="166" t="str">
        <f>IF((ROW()-16)*0.1&gt;'Presión de Viento'!$C$9,"",(ROW()-16)*0.1)</f>
        <v/>
      </c>
      <c r="B126" s="167" t="str">
        <f>IF(A126="","",2.41*(MAX(A126,'Presión de Viento'!$C$35)/'Presión de Viento'!$C$34)^(2/'Presión de Viento'!$C$33))</f>
        <v/>
      </c>
      <c r="C126" s="166" t="str">
        <f>IF(A126="","",0.613*'Presión de Viento'!$C$20*B126*'Presión de Viento'!$C$22*'Presión de Viento'!$C$23*'Presión de Viento'!$C$18^2/9.80665)</f>
        <v/>
      </c>
      <c r="E126" s="176" t="s">
        <v>321</v>
      </c>
      <c r="F126" s="175">
        <f t="shared" si="1"/>
        <v>0</v>
      </c>
      <c r="N126"/>
      <c r="O126"/>
      <c r="R126"/>
      <c r="S126"/>
      <c r="T126"/>
      <c r="U126"/>
      <c r="V126"/>
      <c r="W126"/>
      <c r="X126"/>
    </row>
    <row r="127" spans="1:24">
      <c r="A127" s="166" t="str">
        <f>IF((ROW()-16)*0.1&gt;'Presión de Viento'!$C$9,"",(ROW()-16)*0.1)</f>
        <v/>
      </c>
      <c r="B127" s="167" t="str">
        <f>IF(A127="","",2.41*(MAX(A127,'Presión de Viento'!$C$35)/'Presión de Viento'!$C$34)^(2/'Presión de Viento'!$C$33))</f>
        <v/>
      </c>
      <c r="C127" s="166" t="str">
        <f>IF(A127="","",0.613*'Presión de Viento'!$C$20*B127*'Presión de Viento'!$C$22*'Presión de Viento'!$C$23*'Presión de Viento'!$C$18^2/9.80665)</f>
        <v/>
      </c>
      <c r="E127" s="176" t="s">
        <v>322</v>
      </c>
      <c r="F127" s="175">
        <f t="shared" si="1"/>
        <v>0</v>
      </c>
      <c r="N127"/>
      <c r="O127"/>
      <c r="R127"/>
      <c r="S127"/>
      <c r="T127"/>
      <c r="U127"/>
      <c r="V127"/>
      <c r="W127"/>
      <c r="X127"/>
    </row>
    <row r="128" spans="1:24">
      <c r="A128" s="166" t="str">
        <f>IF((ROW()-16)*0.1&gt;'Presión de Viento'!$C$9,"",(ROW()-16)*0.1)</f>
        <v/>
      </c>
      <c r="B128" s="167" t="str">
        <f>IF(A128="","",2.41*(MAX(A128,'Presión de Viento'!$C$35)/'Presión de Viento'!$C$34)^(2/'Presión de Viento'!$C$33))</f>
        <v/>
      </c>
      <c r="C128" s="166" t="str">
        <f>IF(A128="","",0.613*'Presión de Viento'!$C$20*B128*'Presión de Viento'!$C$22*'Presión de Viento'!$C$23*'Presión de Viento'!$C$18^2/9.80665)</f>
        <v/>
      </c>
      <c r="E128" s="176" t="s">
        <v>323</v>
      </c>
      <c r="F128" s="175">
        <f t="shared" si="1"/>
        <v>0</v>
      </c>
      <c r="N128"/>
      <c r="O128"/>
      <c r="R128"/>
      <c r="S128"/>
      <c r="T128"/>
      <c r="U128"/>
      <c r="V128"/>
      <c r="W128"/>
      <c r="X128"/>
    </row>
    <row r="129" spans="1:24">
      <c r="A129" s="166" t="str">
        <f>IF((ROW()-16)*0.1&gt;'Presión de Viento'!$C$9,"",(ROW()-16)*0.1)</f>
        <v/>
      </c>
      <c r="B129" s="167" t="str">
        <f>IF(A129="","",2.41*(MAX(A129,'Presión de Viento'!$C$35)/'Presión de Viento'!$C$34)^(2/'Presión de Viento'!$C$33))</f>
        <v/>
      </c>
      <c r="C129" s="166" t="str">
        <f>IF(A129="","",0.613*'Presión de Viento'!$C$20*B129*'Presión de Viento'!$C$22*'Presión de Viento'!$C$23*'Presión de Viento'!$C$18^2/9.80665)</f>
        <v/>
      </c>
      <c r="E129" s="176" t="s">
        <v>324</v>
      </c>
      <c r="F129" s="175">
        <f t="shared" si="1"/>
        <v>0</v>
      </c>
      <c r="N129"/>
      <c r="O129"/>
      <c r="R129"/>
      <c r="S129"/>
      <c r="T129"/>
      <c r="U129"/>
      <c r="V129"/>
      <c r="W129"/>
      <c r="X129"/>
    </row>
    <row r="130" spans="1:24">
      <c r="A130" s="166" t="str">
        <f>IF((ROW()-16)*0.1&gt;'Presión de Viento'!$C$9,"",(ROW()-16)*0.1)</f>
        <v/>
      </c>
      <c r="B130" s="167" t="str">
        <f>IF(A130="","",2.41*(MAX(A130,'Presión de Viento'!$C$35)/'Presión de Viento'!$C$34)^(2/'Presión de Viento'!$C$33))</f>
        <v/>
      </c>
      <c r="C130" s="166" t="str">
        <f>IF(A130="","",0.613*'Presión de Viento'!$C$20*B130*'Presión de Viento'!$C$22*'Presión de Viento'!$C$23*'Presión de Viento'!$C$18^2/9.80665)</f>
        <v/>
      </c>
      <c r="E130" s="176" t="s">
        <v>325</v>
      </c>
      <c r="F130" s="175">
        <f t="shared" si="1"/>
        <v>0</v>
      </c>
      <c r="N130"/>
      <c r="O130"/>
      <c r="R130"/>
      <c r="S130"/>
      <c r="T130"/>
      <c r="U130"/>
      <c r="V130"/>
      <c r="W130"/>
      <c r="X130"/>
    </row>
    <row r="131" spans="1:24">
      <c r="A131" s="166" t="str">
        <f>IF((ROW()-16)*0.1&gt;'Presión de Viento'!$C$9,"",(ROW()-16)*0.1)</f>
        <v/>
      </c>
      <c r="B131" s="167" t="str">
        <f>IF(A131="","",2.41*(MAX(A131,'Presión de Viento'!$C$35)/'Presión de Viento'!$C$34)^(2/'Presión de Viento'!$C$33))</f>
        <v/>
      </c>
      <c r="C131" s="166" t="str">
        <f>IF(A131="","",0.613*'Presión de Viento'!$C$20*B131*'Presión de Viento'!$C$22*'Presión de Viento'!$C$23*'Presión de Viento'!$C$18^2/9.80665)</f>
        <v/>
      </c>
      <c r="E131" s="176" t="s">
        <v>326</v>
      </c>
      <c r="F131" s="175">
        <f t="shared" si="1"/>
        <v>0</v>
      </c>
      <c r="N131"/>
      <c r="O131"/>
      <c r="R131"/>
      <c r="S131"/>
      <c r="T131"/>
      <c r="U131"/>
      <c r="V131"/>
      <c r="W131"/>
      <c r="X131"/>
    </row>
    <row r="132" spans="1:24">
      <c r="A132" s="166" t="str">
        <f>IF((ROW()-16)*0.1&gt;'Presión de Viento'!$C$9,"",(ROW()-16)*0.1)</f>
        <v/>
      </c>
      <c r="B132" s="167" t="str">
        <f>IF(A132="","",2.41*(MAX(A132,'Presión de Viento'!$C$35)/'Presión de Viento'!$C$34)^(2/'Presión de Viento'!$C$33))</f>
        <v/>
      </c>
      <c r="C132" s="166" t="str">
        <f>IF(A132="","",0.613*'Presión de Viento'!$C$20*B132*'Presión de Viento'!$C$22*'Presión de Viento'!$C$23*'Presión de Viento'!$C$18^2/9.80665)</f>
        <v/>
      </c>
      <c r="E132" s="176" t="s">
        <v>327</v>
      </c>
      <c r="F132" s="175">
        <f t="shared" si="1"/>
        <v>0</v>
      </c>
      <c r="N132"/>
      <c r="O132"/>
      <c r="R132"/>
      <c r="S132"/>
      <c r="T132"/>
      <c r="U132"/>
      <c r="V132"/>
      <c r="W132"/>
      <c r="X132"/>
    </row>
    <row r="133" spans="1:24">
      <c r="A133" s="166" t="str">
        <f>IF((ROW()-16)*0.1&gt;'Presión de Viento'!$C$9,"",(ROW()-16)*0.1)</f>
        <v/>
      </c>
      <c r="B133" s="167" t="str">
        <f>IF(A133="","",2.41*(MAX(A133,'Presión de Viento'!$C$35)/'Presión de Viento'!$C$34)^(2/'Presión de Viento'!$C$33))</f>
        <v/>
      </c>
      <c r="C133" s="166" t="str">
        <f>IF(A133="","",0.613*'Presión de Viento'!$C$20*B133*'Presión de Viento'!$C$22*'Presión de Viento'!$C$23*'Presión de Viento'!$C$18^2/9.80665)</f>
        <v/>
      </c>
      <c r="E133" s="176" t="s">
        <v>328</v>
      </c>
      <c r="F133" s="175">
        <f t="shared" si="1"/>
        <v>0</v>
      </c>
      <c r="N133"/>
      <c r="O133"/>
      <c r="R133"/>
      <c r="S133"/>
      <c r="T133"/>
      <c r="U133"/>
      <c r="V133"/>
      <c r="W133"/>
      <c r="X133"/>
    </row>
    <row r="134" spans="1:24">
      <c r="A134" s="166" t="str">
        <f>IF((ROW()-16)*0.1&gt;'Presión de Viento'!$C$9,"",(ROW()-16)*0.1)</f>
        <v/>
      </c>
      <c r="B134" s="167" t="str">
        <f>IF(A134="","",2.41*(MAX(A134,'Presión de Viento'!$C$35)/'Presión de Viento'!$C$34)^(2/'Presión de Viento'!$C$33))</f>
        <v/>
      </c>
      <c r="C134" s="166" t="str">
        <f>IF(A134="","",0.613*'Presión de Viento'!$C$20*B134*'Presión de Viento'!$C$22*'Presión de Viento'!$C$23*'Presión de Viento'!$C$18^2/9.80665)</f>
        <v/>
      </c>
      <c r="E134" s="176" t="s">
        <v>329</v>
      </c>
      <c r="F134" s="175">
        <f t="shared" si="1"/>
        <v>0</v>
      </c>
      <c r="N134"/>
      <c r="O134"/>
      <c r="R134"/>
      <c r="S134"/>
      <c r="T134"/>
      <c r="U134"/>
      <c r="V134"/>
      <c r="W134"/>
      <c r="X134"/>
    </row>
    <row r="135" spans="1:24">
      <c r="A135" s="166" t="str">
        <f>IF((ROW()-16)*0.1&gt;'Presión de Viento'!$C$9,"",(ROW()-16)*0.1)</f>
        <v/>
      </c>
      <c r="B135" s="167" t="str">
        <f>IF(A135="","",2.41*(MAX(A135,'Presión de Viento'!$C$35)/'Presión de Viento'!$C$34)^(2/'Presión de Viento'!$C$33))</f>
        <v/>
      </c>
      <c r="C135" s="166" t="str">
        <f>IF(A135="","",0.613*'Presión de Viento'!$C$20*B135*'Presión de Viento'!$C$22*'Presión de Viento'!$C$23*'Presión de Viento'!$C$18^2/9.80665)</f>
        <v/>
      </c>
      <c r="E135" s="176" t="s">
        <v>330</v>
      </c>
      <c r="F135" s="175">
        <f t="shared" si="1"/>
        <v>0</v>
      </c>
      <c r="N135"/>
      <c r="O135"/>
      <c r="R135"/>
      <c r="S135"/>
      <c r="T135"/>
      <c r="U135"/>
      <c r="V135"/>
      <c r="W135"/>
      <c r="X135"/>
    </row>
    <row r="136" spans="1:24">
      <c r="A136" s="166" t="str">
        <f>IF((ROW()-16)*0.1&gt;'Presión de Viento'!$C$9,"",(ROW()-16)*0.1)</f>
        <v/>
      </c>
      <c r="B136" s="167" t="str">
        <f>IF(A136="","",2.41*(MAX(A136,'Presión de Viento'!$C$35)/'Presión de Viento'!$C$34)^(2/'Presión de Viento'!$C$33))</f>
        <v/>
      </c>
      <c r="C136" s="166" t="str">
        <f>IF(A136="","",0.613*'Presión de Viento'!$C$20*B136*'Presión de Viento'!$C$22*'Presión de Viento'!$C$23*'Presión de Viento'!$C$18^2/9.80665)</f>
        <v/>
      </c>
      <c r="E136" s="176" t="s">
        <v>331</v>
      </c>
      <c r="F136" s="175">
        <f t="shared" si="1"/>
        <v>0</v>
      </c>
      <c r="N136"/>
      <c r="O136"/>
      <c r="R136"/>
      <c r="S136"/>
      <c r="T136"/>
      <c r="U136"/>
      <c r="V136"/>
      <c r="W136"/>
      <c r="X136"/>
    </row>
    <row r="137" spans="1:24">
      <c r="A137" s="166" t="str">
        <f>IF((ROW()-16)*0.1&gt;'Presión de Viento'!$C$9,"",(ROW()-16)*0.1)</f>
        <v/>
      </c>
      <c r="B137" s="167" t="str">
        <f>IF(A137="","",2.41*(MAX(A137,'Presión de Viento'!$C$35)/'Presión de Viento'!$C$34)^(2/'Presión de Viento'!$C$33))</f>
        <v/>
      </c>
      <c r="C137" s="166" t="str">
        <f>IF(A137="","",0.613*'Presión de Viento'!$C$20*B137*'Presión de Viento'!$C$22*'Presión de Viento'!$C$23*'Presión de Viento'!$C$18^2/9.80665)</f>
        <v/>
      </c>
      <c r="E137" s="176" t="s">
        <v>332</v>
      </c>
      <c r="F137" s="175">
        <f t="shared" si="1"/>
        <v>0</v>
      </c>
      <c r="N137"/>
      <c r="O137"/>
      <c r="R137"/>
      <c r="S137"/>
      <c r="T137"/>
      <c r="U137"/>
      <c r="V137"/>
      <c r="W137"/>
      <c r="X137"/>
    </row>
    <row r="138" spans="1:24">
      <c r="A138" s="166" t="str">
        <f>IF((ROW()-16)*0.1&gt;'Presión de Viento'!$C$9,"",(ROW()-16)*0.1)</f>
        <v/>
      </c>
      <c r="B138" s="167" t="str">
        <f>IF(A138="","",2.41*(MAX(A138,'Presión de Viento'!$C$35)/'Presión de Viento'!$C$34)^(2/'Presión de Viento'!$C$33))</f>
        <v/>
      </c>
      <c r="C138" s="166" t="str">
        <f>IF(A138="","",0.613*'Presión de Viento'!$C$20*B138*'Presión de Viento'!$C$22*'Presión de Viento'!$C$23*'Presión de Viento'!$C$18^2/9.80665)</f>
        <v/>
      </c>
      <c r="E138" s="176" t="s">
        <v>333</v>
      </c>
      <c r="F138" s="175">
        <f t="shared" si="1"/>
        <v>0</v>
      </c>
      <c r="N138"/>
      <c r="O138"/>
      <c r="R138"/>
      <c r="S138"/>
      <c r="T138"/>
      <c r="U138"/>
      <c r="V138"/>
      <c r="W138"/>
      <c r="X138"/>
    </row>
    <row r="139" spans="1:24">
      <c r="A139" s="166" t="str">
        <f>IF((ROW()-16)*0.1&gt;'Presión de Viento'!$C$9,"",(ROW()-16)*0.1)</f>
        <v/>
      </c>
      <c r="B139" s="167" t="str">
        <f>IF(A139="","",2.41*(MAX(A139,'Presión de Viento'!$C$35)/'Presión de Viento'!$C$34)^(2/'Presión de Viento'!$C$33))</f>
        <v/>
      </c>
      <c r="C139" s="166" t="str">
        <f>IF(A139="","",0.613*'Presión de Viento'!$C$20*B139*'Presión de Viento'!$C$22*'Presión de Viento'!$C$23*'Presión de Viento'!$C$18^2/9.80665)</f>
        <v/>
      </c>
      <c r="E139" s="176" t="s">
        <v>334</v>
      </c>
      <c r="F139" s="175">
        <f t="shared" si="1"/>
        <v>0</v>
      </c>
      <c r="N139"/>
      <c r="O139"/>
      <c r="R139"/>
      <c r="S139"/>
      <c r="T139"/>
      <c r="U139"/>
      <c r="V139"/>
      <c r="W139"/>
      <c r="X139"/>
    </row>
    <row r="140" spans="1:24">
      <c r="A140" s="166" t="str">
        <f>IF((ROW()-16)*0.1&gt;'Presión de Viento'!$C$9,"",(ROW()-16)*0.1)</f>
        <v/>
      </c>
      <c r="B140" s="167" t="str">
        <f>IF(A140="","",2.41*(MAX(A140,'Presión de Viento'!$C$35)/'Presión de Viento'!$C$34)^(2/'Presión de Viento'!$C$33))</f>
        <v/>
      </c>
      <c r="C140" s="166" t="str">
        <f>IF(A140="","",0.613*'Presión de Viento'!$C$20*B140*'Presión de Viento'!$C$22*'Presión de Viento'!$C$23*'Presión de Viento'!$C$18^2/9.80665)</f>
        <v/>
      </c>
      <c r="E140" s="176" t="s">
        <v>335</v>
      </c>
      <c r="F140" s="175">
        <f t="shared" si="1"/>
        <v>0</v>
      </c>
      <c r="N140"/>
      <c r="O140"/>
      <c r="R140"/>
      <c r="S140"/>
      <c r="T140"/>
      <c r="U140"/>
      <c r="V140"/>
      <c r="W140"/>
      <c r="X140"/>
    </row>
    <row r="141" spans="1:24">
      <c r="A141" s="166" t="str">
        <f>IF((ROW()-16)*0.1&gt;'Presión de Viento'!$C$9,"",(ROW()-16)*0.1)</f>
        <v/>
      </c>
      <c r="B141" s="167" t="str">
        <f>IF(A141="","",2.41*(MAX(A141,'Presión de Viento'!$C$35)/'Presión de Viento'!$C$34)^(2/'Presión de Viento'!$C$33))</f>
        <v/>
      </c>
      <c r="C141" s="166" t="str">
        <f>IF(A141="","",0.613*'Presión de Viento'!$C$20*B141*'Presión de Viento'!$C$22*'Presión de Viento'!$C$23*'Presión de Viento'!$C$18^2/9.80665)</f>
        <v/>
      </c>
      <c r="E141" s="176" t="s">
        <v>336</v>
      </c>
      <c r="F141" s="175">
        <f t="shared" si="1"/>
        <v>0</v>
      </c>
      <c r="N141"/>
      <c r="O141"/>
      <c r="R141"/>
      <c r="S141"/>
      <c r="T141"/>
      <c r="U141"/>
      <c r="V141"/>
      <c r="W141"/>
      <c r="X141"/>
    </row>
    <row r="142" spans="1:24">
      <c r="A142" s="166" t="str">
        <f>IF((ROW()-16)*0.1&gt;'Presión de Viento'!$C$9,"",(ROW()-16)*0.1)</f>
        <v/>
      </c>
      <c r="B142" s="167" t="str">
        <f>IF(A142="","",2.41*(MAX(A142,'Presión de Viento'!$C$35)/'Presión de Viento'!$C$34)^(2/'Presión de Viento'!$C$33))</f>
        <v/>
      </c>
      <c r="C142" s="166" t="str">
        <f>IF(A142="","",0.613*'Presión de Viento'!$C$20*B142*'Presión de Viento'!$C$22*'Presión de Viento'!$C$23*'Presión de Viento'!$C$18^2/9.80665)</f>
        <v/>
      </c>
      <c r="E142" s="176" t="s">
        <v>337</v>
      </c>
      <c r="F142" s="175">
        <f t="shared" si="1"/>
        <v>0</v>
      </c>
      <c r="N142"/>
      <c r="O142"/>
      <c r="R142"/>
      <c r="S142"/>
      <c r="T142"/>
      <c r="U142"/>
      <c r="V142"/>
      <c r="W142"/>
      <c r="X142"/>
    </row>
    <row r="143" spans="1:24">
      <c r="A143" s="166" t="str">
        <f>IF((ROW()-16)*0.1&gt;'Presión de Viento'!$C$9,"",(ROW()-16)*0.1)</f>
        <v/>
      </c>
      <c r="B143" s="167" t="str">
        <f>IF(A143="","",2.41*(MAX(A143,'Presión de Viento'!$C$35)/'Presión de Viento'!$C$34)^(2/'Presión de Viento'!$C$33))</f>
        <v/>
      </c>
      <c r="C143" s="166" t="str">
        <f>IF(A143="","",0.613*'Presión de Viento'!$C$20*B143*'Presión de Viento'!$C$22*'Presión de Viento'!$C$23*'Presión de Viento'!$C$18^2/9.80665)</f>
        <v/>
      </c>
      <c r="E143" s="176" t="s">
        <v>338</v>
      </c>
      <c r="F143" s="175">
        <f t="shared" si="1"/>
        <v>0</v>
      </c>
      <c r="N143"/>
      <c r="O143"/>
      <c r="R143"/>
      <c r="S143"/>
      <c r="T143"/>
      <c r="U143"/>
      <c r="V143"/>
      <c r="W143"/>
      <c r="X143"/>
    </row>
    <row r="144" spans="1:24">
      <c r="A144" s="166" t="str">
        <f>IF((ROW()-16)*0.1&gt;'Presión de Viento'!$C$9,"",(ROW()-16)*0.1)</f>
        <v/>
      </c>
      <c r="B144" s="167" t="str">
        <f>IF(A144="","",2.41*(MAX(A144,'Presión de Viento'!$C$35)/'Presión de Viento'!$C$34)^(2/'Presión de Viento'!$C$33))</f>
        <v/>
      </c>
      <c r="C144" s="166" t="str">
        <f>IF(A144="","",0.613*'Presión de Viento'!$C$20*B144*'Presión de Viento'!$C$22*'Presión de Viento'!$C$23*'Presión de Viento'!$C$18^2/9.80665)</f>
        <v/>
      </c>
      <c r="E144" s="176" t="s">
        <v>339</v>
      </c>
      <c r="F144" s="175">
        <f t="shared" si="1"/>
        <v>0</v>
      </c>
      <c r="N144"/>
      <c r="O144"/>
      <c r="R144"/>
      <c r="S144"/>
      <c r="T144"/>
      <c r="U144"/>
      <c r="V144"/>
      <c r="W144"/>
      <c r="X144"/>
    </row>
    <row r="145" spans="1:24">
      <c r="A145" s="166" t="str">
        <f>IF((ROW()-16)*0.1&gt;'Presión de Viento'!$C$9,"",(ROW()-16)*0.1)</f>
        <v/>
      </c>
      <c r="B145" s="167" t="str">
        <f>IF(A145="","",2.41*(MAX(A145,'Presión de Viento'!$C$35)/'Presión de Viento'!$C$34)^(2/'Presión de Viento'!$C$33))</f>
        <v/>
      </c>
      <c r="C145" s="166" t="str">
        <f>IF(A145="","",0.613*'Presión de Viento'!$C$20*B145*'Presión de Viento'!$C$22*'Presión de Viento'!$C$23*'Presión de Viento'!$C$18^2/9.80665)</f>
        <v/>
      </c>
      <c r="E145" s="176" t="s">
        <v>340</v>
      </c>
      <c r="F145" s="175">
        <f t="shared" ref="F145:F208" si="2">IF(A145="",0,C145)</f>
        <v>0</v>
      </c>
      <c r="N145"/>
      <c r="O145"/>
      <c r="R145"/>
      <c r="S145"/>
      <c r="T145"/>
      <c r="U145"/>
      <c r="V145"/>
      <c r="W145"/>
      <c r="X145"/>
    </row>
    <row r="146" spans="1:24">
      <c r="A146" s="166" t="str">
        <f>IF((ROW()-16)*0.1&gt;'Presión de Viento'!$C$9,"",(ROW()-16)*0.1)</f>
        <v/>
      </c>
      <c r="B146" s="167" t="str">
        <f>IF(A146="","",2.41*(MAX(A146,'Presión de Viento'!$C$35)/'Presión de Viento'!$C$34)^(2/'Presión de Viento'!$C$33))</f>
        <v/>
      </c>
      <c r="C146" s="166" t="str">
        <f>IF(A146="","",0.613*'Presión de Viento'!$C$20*B146*'Presión de Viento'!$C$22*'Presión de Viento'!$C$23*'Presión de Viento'!$C$18^2/9.80665)</f>
        <v/>
      </c>
      <c r="E146" s="176" t="s">
        <v>341</v>
      </c>
      <c r="F146" s="175">
        <f t="shared" si="2"/>
        <v>0</v>
      </c>
      <c r="N146"/>
      <c r="O146"/>
      <c r="R146"/>
      <c r="S146"/>
      <c r="T146"/>
      <c r="U146"/>
      <c r="V146"/>
      <c r="W146"/>
      <c r="X146"/>
    </row>
    <row r="147" spans="1:24">
      <c r="A147" s="166" t="str">
        <f>IF((ROW()-16)*0.1&gt;'Presión de Viento'!$C$9,"",(ROW()-16)*0.1)</f>
        <v/>
      </c>
      <c r="B147" s="167" t="str">
        <f>IF(A147="","",2.41*(MAX(A147,'Presión de Viento'!$C$35)/'Presión de Viento'!$C$34)^(2/'Presión de Viento'!$C$33))</f>
        <v/>
      </c>
      <c r="C147" s="166" t="str">
        <f>IF(A147="","",0.613*'Presión de Viento'!$C$20*B147*'Presión de Viento'!$C$22*'Presión de Viento'!$C$23*'Presión de Viento'!$C$18^2/9.80665)</f>
        <v/>
      </c>
      <c r="E147" s="176" t="s">
        <v>342</v>
      </c>
      <c r="F147" s="175">
        <f t="shared" si="2"/>
        <v>0</v>
      </c>
      <c r="N147"/>
      <c r="O147"/>
      <c r="R147"/>
      <c r="S147"/>
      <c r="T147"/>
      <c r="U147"/>
      <c r="V147"/>
      <c r="W147"/>
      <c r="X147"/>
    </row>
    <row r="148" spans="1:24">
      <c r="A148" s="166" t="str">
        <f>IF((ROW()-16)*0.1&gt;'Presión de Viento'!$C$9,"",(ROW()-16)*0.1)</f>
        <v/>
      </c>
      <c r="B148" s="167" t="str">
        <f>IF(A148="","",2.41*(MAX(A148,'Presión de Viento'!$C$35)/'Presión de Viento'!$C$34)^(2/'Presión de Viento'!$C$33))</f>
        <v/>
      </c>
      <c r="C148" s="166" t="str">
        <f>IF(A148="","",0.613*'Presión de Viento'!$C$20*B148*'Presión de Viento'!$C$22*'Presión de Viento'!$C$23*'Presión de Viento'!$C$18^2/9.80665)</f>
        <v/>
      </c>
      <c r="E148" s="176" t="s">
        <v>343</v>
      </c>
      <c r="F148" s="175">
        <f t="shared" si="2"/>
        <v>0</v>
      </c>
      <c r="N148"/>
      <c r="O148"/>
      <c r="R148"/>
      <c r="S148"/>
      <c r="T148"/>
      <c r="U148"/>
      <c r="V148"/>
      <c r="W148"/>
      <c r="X148"/>
    </row>
    <row r="149" spans="1:24">
      <c r="A149" s="166" t="str">
        <f>IF((ROW()-16)*0.1&gt;'Presión de Viento'!$C$9,"",(ROW()-16)*0.1)</f>
        <v/>
      </c>
      <c r="B149" s="167" t="str">
        <f>IF(A149="","",2.41*(MAX(A149,'Presión de Viento'!$C$35)/'Presión de Viento'!$C$34)^(2/'Presión de Viento'!$C$33))</f>
        <v/>
      </c>
      <c r="C149" s="166" t="str">
        <f>IF(A149="","",0.613*'Presión de Viento'!$C$20*B149*'Presión de Viento'!$C$22*'Presión de Viento'!$C$23*'Presión de Viento'!$C$18^2/9.80665)</f>
        <v/>
      </c>
      <c r="E149" s="176" t="s">
        <v>344</v>
      </c>
      <c r="F149" s="175">
        <f t="shared" si="2"/>
        <v>0</v>
      </c>
      <c r="N149"/>
      <c r="O149"/>
      <c r="R149"/>
      <c r="S149"/>
      <c r="T149"/>
      <c r="U149"/>
      <c r="V149"/>
      <c r="W149"/>
      <c r="X149"/>
    </row>
    <row r="150" spans="1:24">
      <c r="A150" s="166" t="str">
        <f>IF((ROW()-16)*0.1&gt;'Presión de Viento'!$C$9,"",(ROW()-16)*0.1)</f>
        <v/>
      </c>
      <c r="B150" s="167" t="str">
        <f>IF(A150="","",2.41*(MAX(A150,'Presión de Viento'!$C$35)/'Presión de Viento'!$C$34)^(2/'Presión de Viento'!$C$33))</f>
        <v/>
      </c>
      <c r="C150" s="166" t="str">
        <f>IF(A150="","",0.613*'Presión de Viento'!$C$20*B150*'Presión de Viento'!$C$22*'Presión de Viento'!$C$23*'Presión de Viento'!$C$18^2/9.80665)</f>
        <v/>
      </c>
      <c r="E150" s="176" t="s">
        <v>345</v>
      </c>
      <c r="F150" s="175">
        <f t="shared" si="2"/>
        <v>0</v>
      </c>
      <c r="N150"/>
      <c r="O150"/>
      <c r="R150"/>
      <c r="S150"/>
      <c r="T150"/>
      <c r="U150"/>
      <c r="V150"/>
      <c r="W150"/>
      <c r="X150"/>
    </row>
    <row r="151" spans="1:24">
      <c r="A151" s="166" t="str">
        <f>IF((ROW()-16)*0.1&gt;'Presión de Viento'!$C$9,"",(ROW()-16)*0.1)</f>
        <v/>
      </c>
      <c r="B151" s="167" t="str">
        <f>IF(A151="","",2.41*(MAX(A151,'Presión de Viento'!$C$35)/'Presión de Viento'!$C$34)^(2/'Presión de Viento'!$C$33))</f>
        <v/>
      </c>
      <c r="C151" s="166" t="str">
        <f>IF(A151="","",0.613*'Presión de Viento'!$C$20*B151*'Presión de Viento'!$C$22*'Presión de Viento'!$C$23*'Presión de Viento'!$C$18^2/9.80665)</f>
        <v/>
      </c>
      <c r="E151" s="176" t="s">
        <v>346</v>
      </c>
      <c r="F151" s="175">
        <f t="shared" si="2"/>
        <v>0</v>
      </c>
      <c r="N151"/>
      <c r="O151"/>
      <c r="R151"/>
      <c r="S151"/>
      <c r="T151"/>
      <c r="U151"/>
      <c r="V151"/>
      <c r="W151"/>
      <c r="X151"/>
    </row>
    <row r="152" spans="1:24">
      <c r="A152" s="166" t="str">
        <f>IF((ROW()-16)*0.1&gt;'Presión de Viento'!$C$9,"",(ROW()-16)*0.1)</f>
        <v/>
      </c>
      <c r="B152" s="167" t="str">
        <f>IF(A152="","",2.41*(MAX(A152,'Presión de Viento'!$C$35)/'Presión de Viento'!$C$34)^(2/'Presión de Viento'!$C$33))</f>
        <v/>
      </c>
      <c r="C152" s="166" t="str">
        <f>IF(A152="","",0.613*'Presión de Viento'!$C$20*B152*'Presión de Viento'!$C$22*'Presión de Viento'!$C$23*'Presión de Viento'!$C$18^2/9.80665)</f>
        <v/>
      </c>
      <c r="E152" s="176" t="s">
        <v>347</v>
      </c>
      <c r="F152" s="175">
        <f t="shared" si="2"/>
        <v>0</v>
      </c>
      <c r="N152"/>
      <c r="O152"/>
      <c r="R152"/>
      <c r="S152"/>
      <c r="T152"/>
      <c r="U152"/>
      <c r="V152"/>
      <c r="W152"/>
      <c r="X152"/>
    </row>
    <row r="153" spans="1:24">
      <c r="A153" s="166" t="str">
        <f>IF((ROW()-16)*0.1&gt;'Presión de Viento'!$C$9,"",(ROW()-16)*0.1)</f>
        <v/>
      </c>
      <c r="B153" s="167" t="str">
        <f>IF(A153="","",2.41*(MAX(A153,'Presión de Viento'!$C$35)/'Presión de Viento'!$C$34)^(2/'Presión de Viento'!$C$33))</f>
        <v/>
      </c>
      <c r="C153" s="166" t="str">
        <f>IF(A153="","",0.613*'Presión de Viento'!$C$20*B153*'Presión de Viento'!$C$22*'Presión de Viento'!$C$23*'Presión de Viento'!$C$18^2/9.80665)</f>
        <v/>
      </c>
      <c r="E153" s="176" t="s">
        <v>348</v>
      </c>
      <c r="F153" s="175">
        <f t="shared" si="2"/>
        <v>0</v>
      </c>
      <c r="N153"/>
      <c r="O153"/>
      <c r="R153"/>
      <c r="S153"/>
      <c r="T153"/>
      <c r="U153"/>
      <c r="V153"/>
      <c r="W153"/>
      <c r="X153"/>
    </row>
    <row r="154" spans="1:24">
      <c r="A154" s="166" t="str">
        <f>IF((ROW()-16)*0.1&gt;'Presión de Viento'!$C$9,"",(ROW()-16)*0.1)</f>
        <v/>
      </c>
      <c r="B154" s="167" t="str">
        <f>IF(A154="","",2.41*(MAX(A154,'Presión de Viento'!$C$35)/'Presión de Viento'!$C$34)^(2/'Presión de Viento'!$C$33))</f>
        <v/>
      </c>
      <c r="C154" s="166" t="str">
        <f>IF(A154="","",0.613*'Presión de Viento'!$C$20*B154*'Presión de Viento'!$C$22*'Presión de Viento'!$C$23*'Presión de Viento'!$C$18^2/9.80665)</f>
        <v/>
      </c>
      <c r="E154" s="176" t="s">
        <v>349</v>
      </c>
      <c r="F154" s="175">
        <f t="shared" si="2"/>
        <v>0</v>
      </c>
      <c r="N154"/>
      <c r="O154"/>
      <c r="R154"/>
      <c r="S154"/>
      <c r="T154"/>
      <c r="U154"/>
      <c r="V154"/>
      <c r="W154"/>
      <c r="X154"/>
    </row>
    <row r="155" spans="1:24">
      <c r="A155" s="166" t="str">
        <f>IF((ROW()-16)*0.1&gt;'Presión de Viento'!$C$9,"",(ROW()-16)*0.1)</f>
        <v/>
      </c>
      <c r="B155" s="167" t="str">
        <f>IF(A155="","",2.41*(MAX(A155,'Presión de Viento'!$C$35)/'Presión de Viento'!$C$34)^(2/'Presión de Viento'!$C$33))</f>
        <v/>
      </c>
      <c r="C155" s="166" t="str">
        <f>IF(A155="","",0.613*'Presión de Viento'!$C$20*B155*'Presión de Viento'!$C$22*'Presión de Viento'!$C$23*'Presión de Viento'!$C$18^2/9.80665)</f>
        <v/>
      </c>
      <c r="E155" s="176" t="s">
        <v>350</v>
      </c>
      <c r="F155" s="175">
        <f t="shared" si="2"/>
        <v>0</v>
      </c>
      <c r="N155"/>
      <c r="O155"/>
      <c r="R155"/>
      <c r="S155"/>
      <c r="T155"/>
      <c r="U155"/>
      <c r="V155"/>
      <c r="W155"/>
      <c r="X155"/>
    </row>
    <row r="156" spans="1:24">
      <c r="A156" s="166" t="str">
        <f>IF((ROW()-16)*0.1&gt;'Presión de Viento'!$C$9,"",(ROW()-16)*0.1)</f>
        <v/>
      </c>
      <c r="B156" s="167" t="str">
        <f>IF(A156="","",2.41*(MAX(A156,'Presión de Viento'!$C$35)/'Presión de Viento'!$C$34)^(2/'Presión de Viento'!$C$33))</f>
        <v/>
      </c>
      <c r="C156" s="166" t="str">
        <f>IF(A156="","",0.613*'Presión de Viento'!$C$20*B156*'Presión de Viento'!$C$22*'Presión de Viento'!$C$23*'Presión de Viento'!$C$18^2/9.80665)</f>
        <v/>
      </c>
      <c r="E156" s="176" t="s">
        <v>351</v>
      </c>
      <c r="F156" s="175">
        <f t="shared" si="2"/>
        <v>0</v>
      </c>
      <c r="N156"/>
      <c r="O156"/>
      <c r="R156"/>
      <c r="S156"/>
      <c r="T156"/>
      <c r="U156"/>
      <c r="V156"/>
      <c r="W156"/>
      <c r="X156"/>
    </row>
    <row r="157" spans="1:24">
      <c r="A157" s="166" t="str">
        <f>IF((ROW()-16)*0.1&gt;'Presión de Viento'!$C$9,"",(ROW()-16)*0.1)</f>
        <v/>
      </c>
      <c r="B157" s="167" t="str">
        <f>IF(A157="","",2.41*(MAX(A157,'Presión de Viento'!$C$35)/'Presión de Viento'!$C$34)^(2/'Presión de Viento'!$C$33))</f>
        <v/>
      </c>
      <c r="C157" s="166" t="str">
        <f>IF(A157="","",0.613*'Presión de Viento'!$C$20*B157*'Presión de Viento'!$C$22*'Presión de Viento'!$C$23*'Presión de Viento'!$C$18^2/9.80665)</f>
        <v/>
      </c>
      <c r="E157" s="176" t="s">
        <v>352</v>
      </c>
      <c r="F157" s="175">
        <f t="shared" si="2"/>
        <v>0</v>
      </c>
      <c r="N157"/>
      <c r="O157"/>
      <c r="R157"/>
      <c r="S157"/>
      <c r="T157"/>
      <c r="U157"/>
      <c r="V157"/>
      <c r="W157"/>
      <c r="X157"/>
    </row>
    <row r="158" spans="1:24">
      <c r="A158" s="166" t="str">
        <f>IF((ROW()-16)*0.1&gt;'Presión de Viento'!$C$9,"",(ROW()-16)*0.1)</f>
        <v/>
      </c>
      <c r="B158" s="167" t="str">
        <f>IF(A158="","",2.41*(MAX(A158,'Presión de Viento'!$C$35)/'Presión de Viento'!$C$34)^(2/'Presión de Viento'!$C$33))</f>
        <v/>
      </c>
      <c r="C158" s="166" t="str">
        <f>IF(A158="","",0.613*'Presión de Viento'!$C$20*B158*'Presión de Viento'!$C$22*'Presión de Viento'!$C$23*'Presión de Viento'!$C$18^2/9.80665)</f>
        <v/>
      </c>
      <c r="E158" s="176" t="s">
        <v>353</v>
      </c>
      <c r="F158" s="175">
        <f t="shared" si="2"/>
        <v>0</v>
      </c>
      <c r="N158"/>
      <c r="O158"/>
      <c r="R158"/>
      <c r="S158"/>
      <c r="T158"/>
      <c r="U158"/>
      <c r="V158"/>
      <c r="W158"/>
      <c r="X158"/>
    </row>
    <row r="159" spans="1:24">
      <c r="A159" s="166" t="str">
        <f>IF((ROW()-16)*0.1&gt;'Presión de Viento'!$C$9,"",(ROW()-16)*0.1)</f>
        <v/>
      </c>
      <c r="B159" s="167" t="str">
        <f>IF(A159="","",2.41*(MAX(A159,'Presión de Viento'!$C$35)/'Presión de Viento'!$C$34)^(2/'Presión de Viento'!$C$33))</f>
        <v/>
      </c>
      <c r="C159" s="166" t="str">
        <f>IF(A159="","",0.613*'Presión de Viento'!$C$20*B159*'Presión de Viento'!$C$22*'Presión de Viento'!$C$23*'Presión de Viento'!$C$18^2/9.80665)</f>
        <v/>
      </c>
      <c r="E159" s="176" t="s">
        <v>354</v>
      </c>
      <c r="F159" s="175">
        <f t="shared" si="2"/>
        <v>0</v>
      </c>
      <c r="N159"/>
      <c r="O159"/>
      <c r="R159"/>
      <c r="S159"/>
      <c r="T159"/>
      <c r="U159"/>
      <c r="V159"/>
      <c r="W159"/>
      <c r="X159"/>
    </row>
    <row r="160" spans="1:24">
      <c r="A160" s="166" t="str">
        <f>IF((ROW()-16)*0.1&gt;'Presión de Viento'!$C$9,"",(ROW()-16)*0.1)</f>
        <v/>
      </c>
      <c r="B160" s="167" t="str">
        <f>IF(A160="","",2.41*(MAX(A160,'Presión de Viento'!$C$35)/'Presión de Viento'!$C$34)^(2/'Presión de Viento'!$C$33))</f>
        <v/>
      </c>
      <c r="C160" s="166" t="str">
        <f>IF(A160="","",0.613*'Presión de Viento'!$C$20*B160*'Presión de Viento'!$C$22*'Presión de Viento'!$C$23*'Presión de Viento'!$C$18^2/9.80665)</f>
        <v/>
      </c>
      <c r="E160" s="176" t="s">
        <v>355</v>
      </c>
      <c r="F160" s="175">
        <f t="shared" si="2"/>
        <v>0</v>
      </c>
      <c r="N160"/>
      <c r="O160"/>
      <c r="R160"/>
      <c r="S160"/>
      <c r="T160"/>
      <c r="U160"/>
      <c r="V160"/>
      <c r="W160"/>
      <c r="X160"/>
    </row>
    <row r="161" spans="1:24">
      <c r="A161" s="166" t="str">
        <f>IF((ROW()-16)*0.1&gt;'Presión de Viento'!$C$9,"",(ROW()-16)*0.1)</f>
        <v/>
      </c>
      <c r="B161" s="167" t="str">
        <f>IF(A161="","",2.41*(MAX(A161,'Presión de Viento'!$C$35)/'Presión de Viento'!$C$34)^(2/'Presión de Viento'!$C$33))</f>
        <v/>
      </c>
      <c r="C161" s="166" t="str">
        <f>IF(A161="","",0.613*'Presión de Viento'!$C$20*B161*'Presión de Viento'!$C$22*'Presión de Viento'!$C$23*'Presión de Viento'!$C$18^2/9.80665)</f>
        <v/>
      </c>
      <c r="E161" s="176" t="s">
        <v>356</v>
      </c>
      <c r="F161" s="175">
        <f t="shared" si="2"/>
        <v>0</v>
      </c>
      <c r="N161"/>
      <c r="O161"/>
      <c r="R161"/>
      <c r="S161"/>
      <c r="T161"/>
      <c r="U161"/>
      <c r="V161"/>
      <c r="W161"/>
      <c r="X161"/>
    </row>
    <row r="162" spans="1:24">
      <c r="A162" s="166" t="str">
        <f>IF((ROW()-16)*0.1&gt;'Presión de Viento'!$C$9,"",(ROW()-16)*0.1)</f>
        <v/>
      </c>
      <c r="B162" s="167" t="str">
        <f>IF(A162="","",2.41*(MAX(A162,'Presión de Viento'!$C$35)/'Presión de Viento'!$C$34)^(2/'Presión de Viento'!$C$33))</f>
        <v/>
      </c>
      <c r="C162" s="166" t="str">
        <f>IF(A162="","",0.613*'Presión de Viento'!$C$20*B162*'Presión de Viento'!$C$22*'Presión de Viento'!$C$23*'Presión de Viento'!$C$18^2/9.80665)</f>
        <v/>
      </c>
      <c r="E162" s="176" t="s">
        <v>357</v>
      </c>
      <c r="F162" s="175">
        <f t="shared" si="2"/>
        <v>0</v>
      </c>
      <c r="N162"/>
      <c r="O162"/>
      <c r="R162"/>
      <c r="S162"/>
      <c r="T162"/>
      <c r="U162"/>
      <c r="V162"/>
      <c r="W162"/>
      <c r="X162"/>
    </row>
    <row r="163" spans="1:24">
      <c r="A163" s="166" t="str">
        <f>IF((ROW()-16)*0.1&gt;'Presión de Viento'!$C$9,"",(ROW()-16)*0.1)</f>
        <v/>
      </c>
      <c r="B163" s="167" t="str">
        <f>IF(A163="","",2.41*(MAX(A163,'Presión de Viento'!$C$35)/'Presión de Viento'!$C$34)^(2/'Presión de Viento'!$C$33))</f>
        <v/>
      </c>
      <c r="C163" s="166" t="str">
        <f>IF(A163="","",0.613*'Presión de Viento'!$C$20*B163*'Presión de Viento'!$C$22*'Presión de Viento'!$C$23*'Presión de Viento'!$C$18^2/9.80665)</f>
        <v/>
      </c>
      <c r="E163" s="176" t="s">
        <v>358</v>
      </c>
      <c r="F163" s="175">
        <f t="shared" si="2"/>
        <v>0</v>
      </c>
      <c r="N163"/>
      <c r="O163"/>
      <c r="R163"/>
      <c r="S163"/>
      <c r="T163"/>
      <c r="U163"/>
      <c r="V163"/>
      <c r="W163"/>
      <c r="X163"/>
    </row>
    <row r="164" spans="1:24">
      <c r="A164" s="166" t="str">
        <f>IF((ROW()-16)*0.1&gt;'Presión de Viento'!$C$9,"",(ROW()-16)*0.1)</f>
        <v/>
      </c>
      <c r="B164" s="167" t="str">
        <f>IF(A164="","",2.41*(MAX(A164,'Presión de Viento'!$C$35)/'Presión de Viento'!$C$34)^(2/'Presión de Viento'!$C$33))</f>
        <v/>
      </c>
      <c r="C164" s="166" t="str">
        <f>IF(A164="","",0.613*'Presión de Viento'!$C$20*B164*'Presión de Viento'!$C$22*'Presión de Viento'!$C$23*'Presión de Viento'!$C$18^2/9.80665)</f>
        <v/>
      </c>
      <c r="E164" s="176" t="s">
        <v>359</v>
      </c>
      <c r="F164" s="175">
        <f t="shared" si="2"/>
        <v>0</v>
      </c>
      <c r="N164"/>
      <c r="O164"/>
      <c r="R164"/>
      <c r="S164"/>
      <c r="T164"/>
      <c r="U164"/>
      <c r="V164"/>
      <c r="W164"/>
      <c r="X164"/>
    </row>
    <row r="165" spans="1:24">
      <c r="A165" s="166" t="str">
        <f>IF((ROW()-16)*0.1&gt;'Presión de Viento'!$C$9,"",(ROW()-16)*0.1)</f>
        <v/>
      </c>
      <c r="B165" s="167" t="str">
        <f>IF(A165="","",2.41*(MAX(A165,'Presión de Viento'!$C$35)/'Presión de Viento'!$C$34)^(2/'Presión de Viento'!$C$33))</f>
        <v/>
      </c>
      <c r="C165" s="166" t="str">
        <f>IF(A165="","",0.613*'Presión de Viento'!$C$20*B165*'Presión de Viento'!$C$22*'Presión de Viento'!$C$23*'Presión de Viento'!$C$18^2/9.80665)</f>
        <v/>
      </c>
      <c r="E165" s="176" t="s">
        <v>360</v>
      </c>
      <c r="F165" s="175">
        <f t="shared" si="2"/>
        <v>0</v>
      </c>
      <c r="N165"/>
      <c r="O165"/>
      <c r="R165"/>
      <c r="S165"/>
      <c r="T165"/>
      <c r="U165"/>
      <c r="V165"/>
      <c r="W165"/>
      <c r="X165"/>
    </row>
    <row r="166" spans="1:24">
      <c r="A166" s="166" t="str">
        <f>IF((ROW()-16)*0.1&gt;'Presión de Viento'!$C$9,"",(ROW()-16)*0.1)</f>
        <v/>
      </c>
      <c r="B166" s="167" t="str">
        <f>IF(A166="","",2.41*(MAX(A166,'Presión de Viento'!$C$35)/'Presión de Viento'!$C$34)^(2/'Presión de Viento'!$C$33))</f>
        <v/>
      </c>
      <c r="C166" s="166" t="str">
        <f>IF(A166="","",0.613*'Presión de Viento'!$C$20*B166*'Presión de Viento'!$C$22*'Presión de Viento'!$C$23*'Presión de Viento'!$C$18^2/9.80665)</f>
        <v/>
      </c>
      <c r="E166" s="176" t="s">
        <v>361</v>
      </c>
      <c r="F166" s="175">
        <f t="shared" si="2"/>
        <v>0</v>
      </c>
      <c r="N166"/>
      <c r="O166"/>
      <c r="R166"/>
      <c r="S166"/>
      <c r="T166"/>
      <c r="U166"/>
      <c r="V166"/>
      <c r="W166"/>
      <c r="X166"/>
    </row>
    <row r="167" spans="1:24">
      <c r="A167" s="166" t="str">
        <f>IF((ROW()-16)*0.1&gt;'Presión de Viento'!$C$9,"",(ROW()-16)*0.1)</f>
        <v/>
      </c>
      <c r="B167" s="167" t="str">
        <f>IF(A167="","",2.41*(MAX(A167,'Presión de Viento'!$C$35)/'Presión de Viento'!$C$34)^(2/'Presión de Viento'!$C$33))</f>
        <v/>
      </c>
      <c r="C167" s="166" t="str">
        <f>IF(A167="","",0.613*'Presión de Viento'!$C$20*B167*'Presión de Viento'!$C$22*'Presión de Viento'!$C$23*'Presión de Viento'!$C$18^2/9.80665)</f>
        <v/>
      </c>
      <c r="E167" s="176" t="s">
        <v>362</v>
      </c>
      <c r="F167" s="175">
        <f t="shared" si="2"/>
        <v>0</v>
      </c>
      <c r="N167"/>
      <c r="O167"/>
      <c r="R167"/>
      <c r="S167"/>
      <c r="T167"/>
      <c r="U167"/>
      <c r="V167"/>
      <c r="W167"/>
      <c r="X167"/>
    </row>
    <row r="168" spans="1:24">
      <c r="A168" s="166" t="str">
        <f>IF((ROW()-16)*0.1&gt;'Presión de Viento'!$C$9,"",(ROW()-16)*0.1)</f>
        <v/>
      </c>
      <c r="B168" s="167" t="str">
        <f>IF(A168="","",2.41*(MAX(A168,'Presión de Viento'!$C$35)/'Presión de Viento'!$C$34)^(2/'Presión de Viento'!$C$33))</f>
        <v/>
      </c>
      <c r="C168" s="166" t="str">
        <f>IF(A168="","",0.613*'Presión de Viento'!$C$20*B168*'Presión de Viento'!$C$22*'Presión de Viento'!$C$23*'Presión de Viento'!$C$18^2/9.80665)</f>
        <v/>
      </c>
      <c r="E168" s="176" t="s">
        <v>363</v>
      </c>
      <c r="F168" s="175">
        <f t="shared" si="2"/>
        <v>0</v>
      </c>
      <c r="N168"/>
      <c r="O168"/>
      <c r="R168"/>
      <c r="S168"/>
      <c r="T168"/>
      <c r="U168"/>
      <c r="V168"/>
      <c r="W168"/>
      <c r="X168"/>
    </row>
    <row r="169" spans="1:24">
      <c r="A169" s="166" t="str">
        <f>IF((ROW()-16)*0.1&gt;'Presión de Viento'!$C$9,"",(ROW()-16)*0.1)</f>
        <v/>
      </c>
      <c r="B169" s="167" t="str">
        <f>IF(A169="","",2.41*(MAX(A169,'Presión de Viento'!$C$35)/'Presión de Viento'!$C$34)^(2/'Presión de Viento'!$C$33))</f>
        <v/>
      </c>
      <c r="C169" s="166" t="str">
        <f>IF(A169="","",0.613*'Presión de Viento'!$C$20*B169*'Presión de Viento'!$C$22*'Presión de Viento'!$C$23*'Presión de Viento'!$C$18^2/9.80665)</f>
        <v/>
      </c>
      <c r="E169" s="176" t="s">
        <v>364</v>
      </c>
      <c r="F169" s="175">
        <f t="shared" si="2"/>
        <v>0</v>
      </c>
      <c r="N169"/>
      <c r="O169"/>
      <c r="R169"/>
      <c r="S169"/>
      <c r="T169"/>
      <c r="U169"/>
      <c r="V169"/>
      <c r="W169"/>
      <c r="X169"/>
    </row>
    <row r="170" spans="1:24">
      <c r="A170" s="166" t="str">
        <f>IF((ROW()-16)*0.1&gt;'Presión de Viento'!$C$9,"",(ROW()-16)*0.1)</f>
        <v/>
      </c>
      <c r="B170" s="167" t="str">
        <f>IF(A170="","",2.41*(MAX(A170,'Presión de Viento'!$C$35)/'Presión de Viento'!$C$34)^(2/'Presión de Viento'!$C$33))</f>
        <v/>
      </c>
      <c r="C170" s="166" t="str">
        <f>IF(A170="","",0.613*'Presión de Viento'!$C$20*B170*'Presión de Viento'!$C$22*'Presión de Viento'!$C$23*'Presión de Viento'!$C$18^2/9.80665)</f>
        <v/>
      </c>
      <c r="E170" s="176" t="s">
        <v>365</v>
      </c>
      <c r="F170" s="175">
        <f t="shared" si="2"/>
        <v>0</v>
      </c>
      <c r="N170"/>
      <c r="O170"/>
      <c r="R170"/>
      <c r="S170"/>
      <c r="T170"/>
      <c r="U170"/>
      <c r="V170"/>
      <c r="W170"/>
      <c r="X170"/>
    </row>
    <row r="171" spans="1:24">
      <c r="A171" s="166" t="str">
        <f>IF((ROW()-16)*0.1&gt;'Presión de Viento'!$C$9,"",(ROW()-16)*0.1)</f>
        <v/>
      </c>
      <c r="B171" s="167" t="str">
        <f>IF(A171="","",2.41*(MAX(A171,'Presión de Viento'!$C$35)/'Presión de Viento'!$C$34)^(2/'Presión de Viento'!$C$33))</f>
        <v/>
      </c>
      <c r="C171" s="166" t="str">
        <f>IF(A171="","",0.613*'Presión de Viento'!$C$20*B171*'Presión de Viento'!$C$22*'Presión de Viento'!$C$23*'Presión de Viento'!$C$18^2/9.80665)</f>
        <v/>
      </c>
      <c r="E171" s="176" t="s">
        <v>366</v>
      </c>
      <c r="F171" s="175">
        <f t="shared" si="2"/>
        <v>0</v>
      </c>
      <c r="N171"/>
      <c r="O171"/>
      <c r="R171"/>
      <c r="S171"/>
      <c r="T171"/>
      <c r="U171"/>
      <c r="V171"/>
      <c r="W171"/>
      <c r="X171"/>
    </row>
    <row r="172" spans="1:24">
      <c r="A172" s="166" t="str">
        <f>IF((ROW()-16)*0.1&gt;'Presión de Viento'!$C$9,"",(ROW()-16)*0.1)</f>
        <v/>
      </c>
      <c r="B172" s="167" t="str">
        <f>IF(A172="","",2.41*(MAX(A172,'Presión de Viento'!$C$35)/'Presión de Viento'!$C$34)^(2/'Presión de Viento'!$C$33))</f>
        <v/>
      </c>
      <c r="C172" s="166" t="str">
        <f>IF(A172="","",0.613*'Presión de Viento'!$C$20*B172*'Presión de Viento'!$C$22*'Presión de Viento'!$C$23*'Presión de Viento'!$C$18^2/9.80665)</f>
        <v/>
      </c>
      <c r="E172" s="176" t="s">
        <v>367</v>
      </c>
      <c r="F172" s="175">
        <f t="shared" si="2"/>
        <v>0</v>
      </c>
      <c r="N172"/>
      <c r="O172"/>
      <c r="R172"/>
      <c r="S172"/>
      <c r="T172"/>
      <c r="U172"/>
      <c r="V172"/>
      <c r="W172"/>
      <c r="X172"/>
    </row>
    <row r="173" spans="1:24">
      <c r="A173" s="166" t="str">
        <f>IF((ROW()-16)*0.1&gt;'Presión de Viento'!$C$9,"",(ROW()-16)*0.1)</f>
        <v/>
      </c>
      <c r="B173" s="167" t="str">
        <f>IF(A173="","",2.41*(MAX(A173,'Presión de Viento'!$C$35)/'Presión de Viento'!$C$34)^(2/'Presión de Viento'!$C$33))</f>
        <v/>
      </c>
      <c r="C173" s="166" t="str">
        <f>IF(A173="","",0.613*'Presión de Viento'!$C$20*B173*'Presión de Viento'!$C$22*'Presión de Viento'!$C$23*'Presión de Viento'!$C$18^2/9.80665)</f>
        <v/>
      </c>
      <c r="E173" s="176" t="s">
        <v>368</v>
      </c>
      <c r="F173" s="175">
        <f t="shared" si="2"/>
        <v>0</v>
      </c>
      <c r="N173"/>
      <c r="O173"/>
      <c r="R173"/>
      <c r="S173"/>
      <c r="T173"/>
      <c r="U173"/>
      <c r="V173"/>
      <c r="W173"/>
      <c r="X173"/>
    </row>
    <row r="174" spans="1:24">
      <c r="A174" s="166" t="str">
        <f>IF((ROW()-16)*0.1&gt;'Presión de Viento'!$C$9,"",(ROW()-16)*0.1)</f>
        <v/>
      </c>
      <c r="B174" s="167" t="str">
        <f>IF(A174="","",2.41*(MAX(A174,'Presión de Viento'!$C$35)/'Presión de Viento'!$C$34)^(2/'Presión de Viento'!$C$33))</f>
        <v/>
      </c>
      <c r="C174" s="166" t="str">
        <f>IF(A174="","",0.613*'Presión de Viento'!$C$20*B174*'Presión de Viento'!$C$22*'Presión de Viento'!$C$23*'Presión de Viento'!$C$18^2/9.80665)</f>
        <v/>
      </c>
      <c r="E174" s="176" t="s">
        <v>369</v>
      </c>
      <c r="F174" s="175">
        <f t="shared" si="2"/>
        <v>0</v>
      </c>
      <c r="N174"/>
      <c r="O174"/>
      <c r="R174"/>
      <c r="S174"/>
      <c r="T174"/>
      <c r="U174"/>
      <c r="V174"/>
      <c r="W174"/>
      <c r="X174"/>
    </row>
    <row r="175" spans="1:24">
      <c r="A175" s="166" t="str">
        <f>IF((ROW()-16)*0.1&gt;'Presión de Viento'!$C$9,"",(ROW()-16)*0.1)</f>
        <v/>
      </c>
      <c r="B175" s="167" t="str">
        <f>IF(A175="","",2.41*(MAX(A175,'Presión de Viento'!$C$35)/'Presión de Viento'!$C$34)^(2/'Presión de Viento'!$C$33))</f>
        <v/>
      </c>
      <c r="C175" s="166" t="str">
        <f>IF(A175="","",0.613*'Presión de Viento'!$C$20*B175*'Presión de Viento'!$C$22*'Presión de Viento'!$C$23*'Presión de Viento'!$C$18^2/9.80665)</f>
        <v/>
      </c>
      <c r="E175" s="176" t="s">
        <v>370</v>
      </c>
      <c r="F175" s="175">
        <f t="shared" si="2"/>
        <v>0</v>
      </c>
      <c r="N175"/>
      <c r="O175"/>
      <c r="R175"/>
      <c r="S175"/>
      <c r="T175"/>
      <c r="U175"/>
      <c r="V175"/>
      <c r="W175"/>
      <c r="X175"/>
    </row>
    <row r="176" spans="1:24">
      <c r="A176" s="166" t="str">
        <f>IF((ROW()-16)*0.1&gt;'Presión de Viento'!$C$9,"",(ROW()-16)*0.1)</f>
        <v/>
      </c>
      <c r="B176" s="167" t="str">
        <f>IF(A176="","",2.41*(MAX(A176,'Presión de Viento'!$C$35)/'Presión de Viento'!$C$34)^(2/'Presión de Viento'!$C$33))</f>
        <v/>
      </c>
      <c r="C176" s="166" t="str">
        <f>IF(A176="","",0.613*'Presión de Viento'!$C$20*B176*'Presión de Viento'!$C$22*'Presión de Viento'!$C$23*'Presión de Viento'!$C$18^2/9.80665)</f>
        <v/>
      </c>
      <c r="E176" s="176" t="s">
        <v>371</v>
      </c>
      <c r="F176" s="175">
        <f t="shared" si="2"/>
        <v>0</v>
      </c>
      <c r="N176"/>
      <c r="O176"/>
      <c r="R176"/>
      <c r="S176"/>
      <c r="T176"/>
      <c r="U176"/>
      <c r="V176"/>
      <c r="W176"/>
      <c r="X176"/>
    </row>
    <row r="177" spans="1:24">
      <c r="A177" s="166" t="str">
        <f>IF((ROW()-16)*0.1&gt;'Presión de Viento'!$C$9,"",(ROW()-16)*0.1)</f>
        <v/>
      </c>
      <c r="B177" s="167" t="str">
        <f>IF(A177="","",2.41*(MAX(A177,'Presión de Viento'!$C$35)/'Presión de Viento'!$C$34)^(2/'Presión de Viento'!$C$33))</f>
        <v/>
      </c>
      <c r="C177" s="166" t="str">
        <f>IF(A177="","",0.613*'Presión de Viento'!$C$20*B177*'Presión de Viento'!$C$22*'Presión de Viento'!$C$23*'Presión de Viento'!$C$18^2/9.80665)</f>
        <v/>
      </c>
      <c r="E177" s="176" t="s">
        <v>372</v>
      </c>
      <c r="F177" s="175">
        <f t="shared" si="2"/>
        <v>0</v>
      </c>
      <c r="N177"/>
      <c r="O177"/>
      <c r="R177"/>
      <c r="S177"/>
      <c r="T177"/>
      <c r="U177"/>
      <c r="V177"/>
      <c r="W177"/>
      <c r="X177"/>
    </row>
    <row r="178" spans="1:24">
      <c r="A178" s="166" t="str">
        <f>IF((ROW()-16)*0.1&gt;'Presión de Viento'!$C$9,"",(ROW()-16)*0.1)</f>
        <v/>
      </c>
      <c r="B178" s="167" t="str">
        <f>IF(A178="","",2.41*(MAX(A178,'Presión de Viento'!$C$35)/'Presión de Viento'!$C$34)^(2/'Presión de Viento'!$C$33))</f>
        <v/>
      </c>
      <c r="C178" s="166" t="str">
        <f>IF(A178="","",0.613*'Presión de Viento'!$C$20*B178*'Presión de Viento'!$C$22*'Presión de Viento'!$C$23*'Presión de Viento'!$C$18^2/9.80665)</f>
        <v/>
      </c>
      <c r="E178" s="176" t="s">
        <v>373</v>
      </c>
      <c r="F178" s="175">
        <f t="shared" si="2"/>
        <v>0</v>
      </c>
      <c r="N178"/>
      <c r="O178"/>
      <c r="R178"/>
      <c r="S178"/>
      <c r="T178"/>
      <c r="U178"/>
      <c r="V178"/>
      <c r="W178"/>
      <c r="X178"/>
    </row>
    <row r="179" spans="1:24">
      <c r="A179" s="166" t="str">
        <f>IF((ROW()-16)*0.1&gt;'Presión de Viento'!$C$9,"",(ROW()-16)*0.1)</f>
        <v/>
      </c>
      <c r="B179" s="167" t="str">
        <f>IF(A179="","",2.41*(MAX(A179,'Presión de Viento'!$C$35)/'Presión de Viento'!$C$34)^(2/'Presión de Viento'!$C$33))</f>
        <v/>
      </c>
      <c r="C179" s="166" t="str">
        <f>IF(A179="","",0.613*'Presión de Viento'!$C$20*B179*'Presión de Viento'!$C$22*'Presión de Viento'!$C$23*'Presión de Viento'!$C$18^2/9.80665)</f>
        <v/>
      </c>
      <c r="E179" s="176" t="s">
        <v>374</v>
      </c>
      <c r="F179" s="175">
        <f t="shared" si="2"/>
        <v>0</v>
      </c>
      <c r="N179"/>
      <c r="O179"/>
      <c r="R179"/>
      <c r="S179"/>
      <c r="T179"/>
      <c r="U179"/>
      <c r="V179"/>
      <c r="W179"/>
      <c r="X179"/>
    </row>
    <row r="180" spans="1:24">
      <c r="A180" s="166" t="str">
        <f>IF((ROW()-16)*0.1&gt;'Presión de Viento'!$C$9,"",(ROW()-16)*0.1)</f>
        <v/>
      </c>
      <c r="B180" s="167" t="str">
        <f>IF(A180="","",2.41*(MAX(A180,'Presión de Viento'!$C$35)/'Presión de Viento'!$C$34)^(2/'Presión de Viento'!$C$33))</f>
        <v/>
      </c>
      <c r="C180" s="166" t="str">
        <f>IF(A180="","",0.613*'Presión de Viento'!$C$20*B180*'Presión de Viento'!$C$22*'Presión de Viento'!$C$23*'Presión de Viento'!$C$18^2/9.80665)</f>
        <v/>
      </c>
      <c r="E180" s="176" t="s">
        <v>375</v>
      </c>
      <c r="F180" s="175">
        <f t="shared" si="2"/>
        <v>0</v>
      </c>
      <c r="N180"/>
      <c r="O180"/>
      <c r="R180"/>
      <c r="S180"/>
      <c r="T180"/>
      <c r="U180"/>
      <c r="V180"/>
      <c r="W180"/>
      <c r="X180"/>
    </row>
    <row r="181" spans="1:24">
      <c r="A181" s="166" t="str">
        <f>IF((ROW()-16)*0.1&gt;'Presión de Viento'!$C$9,"",(ROW()-16)*0.1)</f>
        <v/>
      </c>
      <c r="B181" s="167" t="str">
        <f>IF(A181="","",2.41*(MAX(A181,'Presión de Viento'!$C$35)/'Presión de Viento'!$C$34)^(2/'Presión de Viento'!$C$33))</f>
        <v/>
      </c>
      <c r="C181" s="166" t="str">
        <f>IF(A181="","",0.613*'Presión de Viento'!$C$20*B181*'Presión de Viento'!$C$22*'Presión de Viento'!$C$23*'Presión de Viento'!$C$18^2/9.80665)</f>
        <v/>
      </c>
      <c r="E181" s="176" t="s">
        <v>376</v>
      </c>
      <c r="F181" s="175">
        <f t="shared" si="2"/>
        <v>0</v>
      </c>
      <c r="N181"/>
      <c r="O181"/>
      <c r="R181"/>
      <c r="S181"/>
      <c r="T181"/>
      <c r="U181"/>
      <c r="V181"/>
      <c r="W181"/>
      <c r="X181"/>
    </row>
    <row r="182" spans="1:24">
      <c r="A182" s="166" t="str">
        <f>IF((ROW()-16)*0.1&gt;'Presión de Viento'!$C$9,"",(ROW()-16)*0.1)</f>
        <v/>
      </c>
      <c r="B182" s="167" t="str">
        <f>IF(A182="","",2.41*(MAX(A182,'Presión de Viento'!$C$35)/'Presión de Viento'!$C$34)^(2/'Presión de Viento'!$C$33))</f>
        <v/>
      </c>
      <c r="C182" s="166" t="str">
        <f>IF(A182="","",0.613*'Presión de Viento'!$C$20*B182*'Presión de Viento'!$C$22*'Presión de Viento'!$C$23*'Presión de Viento'!$C$18^2/9.80665)</f>
        <v/>
      </c>
      <c r="E182" s="176" t="s">
        <v>377</v>
      </c>
      <c r="F182" s="175">
        <f t="shared" si="2"/>
        <v>0</v>
      </c>
      <c r="N182"/>
      <c r="O182"/>
      <c r="R182"/>
      <c r="S182"/>
      <c r="T182"/>
      <c r="U182"/>
      <c r="V182"/>
      <c r="W182"/>
      <c r="X182"/>
    </row>
    <row r="183" spans="1:24">
      <c r="A183" s="166" t="str">
        <f>IF((ROW()-16)*0.1&gt;'Presión de Viento'!$C$9,"",(ROW()-16)*0.1)</f>
        <v/>
      </c>
      <c r="B183" s="167" t="str">
        <f>IF(A183="","",2.41*(MAX(A183,'Presión de Viento'!$C$35)/'Presión de Viento'!$C$34)^(2/'Presión de Viento'!$C$33))</f>
        <v/>
      </c>
      <c r="C183" s="166" t="str">
        <f>IF(A183="","",0.613*'Presión de Viento'!$C$20*B183*'Presión de Viento'!$C$22*'Presión de Viento'!$C$23*'Presión de Viento'!$C$18^2/9.80665)</f>
        <v/>
      </c>
      <c r="E183" s="176" t="s">
        <v>378</v>
      </c>
      <c r="F183" s="175">
        <f t="shared" si="2"/>
        <v>0</v>
      </c>
      <c r="N183"/>
      <c r="O183"/>
      <c r="R183"/>
      <c r="S183"/>
      <c r="T183"/>
      <c r="U183"/>
      <c r="V183"/>
      <c r="W183"/>
      <c r="X183"/>
    </row>
    <row r="184" spans="1:24">
      <c r="A184" s="166" t="str">
        <f>IF((ROW()-16)*0.1&gt;'Presión de Viento'!$C$9,"",(ROW()-16)*0.1)</f>
        <v/>
      </c>
      <c r="B184" s="167" t="str">
        <f>IF(A184="","",2.41*(MAX(A184,'Presión de Viento'!$C$35)/'Presión de Viento'!$C$34)^(2/'Presión de Viento'!$C$33))</f>
        <v/>
      </c>
      <c r="C184" s="166" t="str">
        <f>IF(A184="","",0.613*'Presión de Viento'!$C$20*B184*'Presión de Viento'!$C$22*'Presión de Viento'!$C$23*'Presión de Viento'!$C$18^2/9.80665)</f>
        <v/>
      </c>
      <c r="E184" s="176" t="s">
        <v>379</v>
      </c>
      <c r="F184" s="175">
        <f t="shared" si="2"/>
        <v>0</v>
      </c>
      <c r="N184"/>
      <c r="O184"/>
      <c r="R184"/>
      <c r="S184"/>
      <c r="T184"/>
      <c r="U184"/>
      <c r="V184"/>
      <c r="W184"/>
      <c r="X184"/>
    </row>
    <row r="185" spans="1:24">
      <c r="A185" s="166" t="str">
        <f>IF((ROW()-16)*0.1&gt;'Presión de Viento'!$C$9,"",(ROW()-16)*0.1)</f>
        <v/>
      </c>
      <c r="B185" s="167" t="str">
        <f>IF(A185="","",2.41*(MAX(A185,'Presión de Viento'!$C$35)/'Presión de Viento'!$C$34)^(2/'Presión de Viento'!$C$33))</f>
        <v/>
      </c>
      <c r="C185" s="166" t="str">
        <f>IF(A185="","",0.613*'Presión de Viento'!$C$20*B185*'Presión de Viento'!$C$22*'Presión de Viento'!$C$23*'Presión de Viento'!$C$18^2/9.80665)</f>
        <v/>
      </c>
      <c r="E185" s="176" t="s">
        <v>380</v>
      </c>
      <c r="F185" s="175">
        <f t="shared" si="2"/>
        <v>0</v>
      </c>
      <c r="N185"/>
      <c r="O185"/>
      <c r="R185"/>
      <c r="S185"/>
      <c r="T185"/>
      <c r="U185"/>
      <c r="V185"/>
      <c r="W185"/>
      <c r="X185"/>
    </row>
    <row r="186" spans="1:24">
      <c r="A186" s="166" t="str">
        <f>IF((ROW()-16)*0.1&gt;'Presión de Viento'!$C$9,"",(ROW()-16)*0.1)</f>
        <v/>
      </c>
      <c r="B186" s="167" t="str">
        <f>IF(A186="","",2.41*(MAX(A186,'Presión de Viento'!$C$35)/'Presión de Viento'!$C$34)^(2/'Presión de Viento'!$C$33))</f>
        <v/>
      </c>
      <c r="C186" s="166" t="str">
        <f>IF(A186="","",0.613*'Presión de Viento'!$C$20*B186*'Presión de Viento'!$C$22*'Presión de Viento'!$C$23*'Presión de Viento'!$C$18^2/9.80665)</f>
        <v/>
      </c>
      <c r="E186" s="176" t="s">
        <v>381</v>
      </c>
      <c r="F186" s="175">
        <f t="shared" si="2"/>
        <v>0</v>
      </c>
      <c r="N186"/>
      <c r="O186"/>
      <c r="R186"/>
      <c r="S186"/>
      <c r="T186"/>
      <c r="U186"/>
      <c r="V186"/>
      <c r="W186"/>
      <c r="X186"/>
    </row>
    <row r="187" spans="1:24">
      <c r="A187" s="166" t="str">
        <f>IF((ROW()-16)*0.1&gt;'Presión de Viento'!$C$9,"",(ROW()-16)*0.1)</f>
        <v/>
      </c>
      <c r="B187" s="167" t="str">
        <f>IF(A187="","",2.41*(MAX(A187,'Presión de Viento'!$C$35)/'Presión de Viento'!$C$34)^(2/'Presión de Viento'!$C$33))</f>
        <v/>
      </c>
      <c r="C187" s="166" t="str">
        <f>IF(A187="","",0.613*'Presión de Viento'!$C$20*B187*'Presión de Viento'!$C$22*'Presión de Viento'!$C$23*'Presión de Viento'!$C$18^2/9.80665)</f>
        <v/>
      </c>
      <c r="E187" s="176" t="s">
        <v>382</v>
      </c>
      <c r="F187" s="175">
        <f t="shared" si="2"/>
        <v>0</v>
      </c>
      <c r="N187"/>
      <c r="O187"/>
      <c r="R187"/>
      <c r="S187"/>
      <c r="T187"/>
      <c r="U187"/>
      <c r="V187"/>
      <c r="W187"/>
      <c r="X187"/>
    </row>
    <row r="188" spans="1:24">
      <c r="A188" s="166" t="str">
        <f>IF((ROW()-16)*0.1&gt;'Presión de Viento'!$C$9,"",(ROW()-16)*0.1)</f>
        <v/>
      </c>
      <c r="B188" s="167" t="str">
        <f>IF(A188="","",2.41*(MAX(A188,'Presión de Viento'!$C$35)/'Presión de Viento'!$C$34)^(2/'Presión de Viento'!$C$33))</f>
        <v/>
      </c>
      <c r="C188" s="166" t="str">
        <f>IF(A188="","",0.613*'Presión de Viento'!$C$20*B188*'Presión de Viento'!$C$22*'Presión de Viento'!$C$23*'Presión de Viento'!$C$18^2/9.80665)</f>
        <v/>
      </c>
      <c r="E188" s="176" t="s">
        <v>383</v>
      </c>
      <c r="F188" s="175">
        <f t="shared" si="2"/>
        <v>0</v>
      </c>
      <c r="N188"/>
      <c r="O188"/>
      <c r="R188"/>
      <c r="S188"/>
      <c r="T188"/>
      <c r="U188"/>
      <c r="V188"/>
      <c r="W188"/>
      <c r="X188"/>
    </row>
    <row r="189" spans="1:24">
      <c r="A189" s="166" t="str">
        <f>IF((ROW()-16)*0.1&gt;'Presión de Viento'!$C$9,"",(ROW()-16)*0.1)</f>
        <v/>
      </c>
      <c r="B189" s="167" t="str">
        <f>IF(A189="","",2.41*(MAX(A189,'Presión de Viento'!$C$35)/'Presión de Viento'!$C$34)^(2/'Presión de Viento'!$C$33))</f>
        <v/>
      </c>
      <c r="C189" s="166" t="str">
        <f>IF(A189="","",0.613*'Presión de Viento'!$C$20*B189*'Presión de Viento'!$C$22*'Presión de Viento'!$C$23*'Presión de Viento'!$C$18^2/9.80665)</f>
        <v/>
      </c>
      <c r="E189" s="176" t="s">
        <v>384</v>
      </c>
      <c r="F189" s="175">
        <f t="shared" si="2"/>
        <v>0</v>
      </c>
      <c r="N189"/>
      <c r="O189"/>
      <c r="R189"/>
      <c r="S189"/>
      <c r="T189"/>
      <c r="U189"/>
      <c r="V189"/>
      <c r="W189"/>
      <c r="X189"/>
    </row>
    <row r="190" spans="1:24">
      <c r="A190" s="166" t="str">
        <f>IF((ROW()-16)*0.1&gt;'Presión de Viento'!$C$9,"",(ROW()-16)*0.1)</f>
        <v/>
      </c>
      <c r="B190" s="167" t="str">
        <f>IF(A190="","",2.41*(MAX(A190,'Presión de Viento'!$C$35)/'Presión de Viento'!$C$34)^(2/'Presión de Viento'!$C$33))</f>
        <v/>
      </c>
      <c r="C190" s="166" t="str">
        <f>IF(A190="","",0.613*'Presión de Viento'!$C$20*B190*'Presión de Viento'!$C$22*'Presión de Viento'!$C$23*'Presión de Viento'!$C$18^2/9.80665)</f>
        <v/>
      </c>
      <c r="E190" s="176" t="s">
        <v>385</v>
      </c>
      <c r="F190" s="175">
        <f t="shared" si="2"/>
        <v>0</v>
      </c>
      <c r="N190"/>
      <c r="O190"/>
      <c r="R190"/>
      <c r="S190"/>
      <c r="T190"/>
      <c r="U190"/>
      <c r="V190"/>
      <c r="W190"/>
      <c r="X190"/>
    </row>
    <row r="191" spans="1:24">
      <c r="A191" s="166" t="str">
        <f>IF((ROW()-16)*0.1&gt;'Presión de Viento'!$C$9,"",(ROW()-16)*0.1)</f>
        <v/>
      </c>
      <c r="B191" s="167" t="str">
        <f>IF(A191="","",2.41*(MAX(A191,'Presión de Viento'!$C$35)/'Presión de Viento'!$C$34)^(2/'Presión de Viento'!$C$33))</f>
        <v/>
      </c>
      <c r="C191" s="166" t="str">
        <f>IF(A191="","",0.613*'Presión de Viento'!$C$20*B191*'Presión de Viento'!$C$22*'Presión de Viento'!$C$23*'Presión de Viento'!$C$18^2/9.80665)</f>
        <v/>
      </c>
      <c r="E191" s="176" t="s">
        <v>386</v>
      </c>
      <c r="F191" s="175">
        <f t="shared" si="2"/>
        <v>0</v>
      </c>
      <c r="N191"/>
      <c r="O191"/>
      <c r="R191"/>
      <c r="S191"/>
      <c r="T191"/>
      <c r="U191"/>
      <c r="V191"/>
      <c r="W191"/>
      <c r="X191"/>
    </row>
    <row r="192" spans="1:24">
      <c r="A192" s="166" t="str">
        <f>IF((ROW()-16)*0.1&gt;'Presión de Viento'!$C$9,"",(ROW()-16)*0.1)</f>
        <v/>
      </c>
      <c r="B192" s="167" t="str">
        <f>IF(A192="","",2.41*(MAX(A192,'Presión de Viento'!$C$35)/'Presión de Viento'!$C$34)^(2/'Presión de Viento'!$C$33))</f>
        <v/>
      </c>
      <c r="C192" s="166" t="str">
        <f>IF(A192="","",0.613*'Presión de Viento'!$C$20*B192*'Presión de Viento'!$C$22*'Presión de Viento'!$C$23*'Presión de Viento'!$C$18^2/9.80665)</f>
        <v/>
      </c>
      <c r="E192" s="176" t="s">
        <v>387</v>
      </c>
      <c r="F192" s="175">
        <f t="shared" si="2"/>
        <v>0</v>
      </c>
      <c r="N192"/>
      <c r="O192"/>
      <c r="R192"/>
      <c r="S192"/>
      <c r="T192"/>
      <c r="U192"/>
      <c r="V192"/>
      <c r="W192"/>
      <c r="X192"/>
    </row>
    <row r="193" spans="1:24">
      <c r="A193" s="166" t="str">
        <f>IF((ROW()-16)*0.1&gt;'Presión de Viento'!$C$9,"",(ROW()-16)*0.1)</f>
        <v/>
      </c>
      <c r="B193" s="167" t="str">
        <f>IF(A193="","",2.41*(MAX(A193,'Presión de Viento'!$C$35)/'Presión de Viento'!$C$34)^(2/'Presión de Viento'!$C$33))</f>
        <v/>
      </c>
      <c r="C193" s="166" t="str">
        <f>IF(A193="","",0.613*'Presión de Viento'!$C$20*B193*'Presión de Viento'!$C$22*'Presión de Viento'!$C$23*'Presión de Viento'!$C$18^2/9.80665)</f>
        <v/>
      </c>
      <c r="E193" s="176" t="s">
        <v>388</v>
      </c>
      <c r="F193" s="175">
        <f t="shared" si="2"/>
        <v>0</v>
      </c>
      <c r="N193"/>
      <c r="O193"/>
      <c r="R193"/>
      <c r="S193"/>
      <c r="T193"/>
      <c r="U193"/>
      <c r="V193"/>
      <c r="W193"/>
      <c r="X193"/>
    </row>
    <row r="194" spans="1:24">
      <c r="A194" s="166" t="str">
        <f>IF((ROW()-16)*0.1&gt;'Presión de Viento'!$C$9,"",(ROW()-16)*0.1)</f>
        <v/>
      </c>
      <c r="B194" s="167" t="str">
        <f>IF(A194="","",2.41*(MAX(A194,'Presión de Viento'!$C$35)/'Presión de Viento'!$C$34)^(2/'Presión de Viento'!$C$33))</f>
        <v/>
      </c>
      <c r="C194" s="166" t="str">
        <f>IF(A194="","",0.613*'Presión de Viento'!$C$20*B194*'Presión de Viento'!$C$22*'Presión de Viento'!$C$23*'Presión de Viento'!$C$18^2/9.80665)</f>
        <v/>
      </c>
      <c r="E194" s="176" t="s">
        <v>389</v>
      </c>
      <c r="F194" s="175">
        <f t="shared" si="2"/>
        <v>0</v>
      </c>
      <c r="N194"/>
      <c r="O194"/>
      <c r="R194"/>
      <c r="S194"/>
      <c r="T194"/>
      <c r="U194"/>
      <c r="V194"/>
      <c r="W194"/>
      <c r="X194"/>
    </row>
    <row r="195" spans="1:24">
      <c r="A195" s="166" t="str">
        <f>IF((ROW()-16)*0.1&gt;'Presión de Viento'!$C$9,"",(ROW()-16)*0.1)</f>
        <v/>
      </c>
      <c r="B195" s="167" t="str">
        <f>IF(A195="","",2.41*(MAX(A195,'Presión de Viento'!$C$35)/'Presión de Viento'!$C$34)^(2/'Presión de Viento'!$C$33))</f>
        <v/>
      </c>
      <c r="C195" s="166" t="str">
        <f>IF(A195="","",0.613*'Presión de Viento'!$C$20*B195*'Presión de Viento'!$C$22*'Presión de Viento'!$C$23*'Presión de Viento'!$C$18^2/9.80665)</f>
        <v/>
      </c>
      <c r="E195" s="176" t="s">
        <v>390</v>
      </c>
      <c r="F195" s="175">
        <f t="shared" si="2"/>
        <v>0</v>
      </c>
      <c r="N195"/>
      <c r="O195"/>
      <c r="R195"/>
      <c r="S195"/>
      <c r="T195"/>
      <c r="U195"/>
      <c r="V195"/>
      <c r="W195"/>
      <c r="X195"/>
    </row>
    <row r="196" spans="1:24">
      <c r="A196" s="166" t="str">
        <f>IF((ROW()-16)*0.1&gt;'Presión de Viento'!$C$9,"",(ROW()-16)*0.1)</f>
        <v/>
      </c>
      <c r="B196" s="167" t="str">
        <f>IF(A196="","",2.41*(MAX(A196,'Presión de Viento'!$C$35)/'Presión de Viento'!$C$34)^(2/'Presión de Viento'!$C$33))</f>
        <v/>
      </c>
      <c r="C196" s="166" t="str">
        <f>IF(A196="","",0.613*'Presión de Viento'!$C$20*B196*'Presión de Viento'!$C$22*'Presión de Viento'!$C$23*'Presión de Viento'!$C$18^2/9.80665)</f>
        <v/>
      </c>
      <c r="E196" s="176" t="s">
        <v>391</v>
      </c>
      <c r="F196" s="175">
        <f t="shared" si="2"/>
        <v>0</v>
      </c>
      <c r="N196"/>
      <c r="O196"/>
      <c r="R196"/>
      <c r="S196"/>
      <c r="T196"/>
      <c r="U196"/>
      <c r="V196"/>
      <c r="W196"/>
      <c r="X196"/>
    </row>
    <row r="197" spans="1:24">
      <c r="A197" s="166" t="str">
        <f>IF((ROW()-16)*0.1&gt;'Presión de Viento'!$C$9,"",(ROW()-16)*0.1)</f>
        <v/>
      </c>
      <c r="B197" s="167" t="str">
        <f>IF(A197="","",2.41*(MAX(A197,'Presión de Viento'!$C$35)/'Presión de Viento'!$C$34)^(2/'Presión de Viento'!$C$33))</f>
        <v/>
      </c>
      <c r="C197" s="166" t="str">
        <f>IF(A197="","",0.613*'Presión de Viento'!$C$20*B197*'Presión de Viento'!$C$22*'Presión de Viento'!$C$23*'Presión de Viento'!$C$18^2/9.80665)</f>
        <v/>
      </c>
      <c r="E197" s="176" t="s">
        <v>392</v>
      </c>
      <c r="F197" s="175">
        <f t="shared" si="2"/>
        <v>0</v>
      </c>
      <c r="N197"/>
      <c r="O197"/>
      <c r="R197"/>
      <c r="S197"/>
      <c r="T197"/>
      <c r="U197"/>
      <c r="V197"/>
      <c r="W197"/>
      <c r="X197"/>
    </row>
    <row r="198" spans="1:24">
      <c r="A198" s="166" t="str">
        <f>IF((ROW()-16)*0.1&gt;'Presión de Viento'!$C$9,"",(ROW()-16)*0.1)</f>
        <v/>
      </c>
      <c r="B198" s="167" t="str">
        <f>IF(A198="","",2.41*(MAX(A198,'Presión de Viento'!$C$35)/'Presión de Viento'!$C$34)^(2/'Presión de Viento'!$C$33))</f>
        <v/>
      </c>
      <c r="C198" s="166" t="str">
        <f>IF(A198="","",0.613*'Presión de Viento'!$C$20*B198*'Presión de Viento'!$C$22*'Presión de Viento'!$C$23*'Presión de Viento'!$C$18^2/9.80665)</f>
        <v/>
      </c>
      <c r="E198" s="176" t="s">
        <v>393</v>
      </c>
      <c r="F198" s="175">
        <f t="shared" si="2"/>
        <v>0</v>
      </c>
      <c r="N198"/>
      <c r="O198"/>
      <c r="R198"/>
      <c r="S198"/>
      <c r="T198"/>
      <c r="U198"/>
      <c r="V198"/>
      <c r="W198"/>
      <c r="X198"/>
    </row>
    <row r="199" spans="1:24">
      <c r="A199" s="166" t="str">
        <f>IF((ROW()-16)*0.1&gt;'Presión de Viento'!$C$9,"",(ROW()-16)*0.1)</f>
        <v/>
      </c>
      <c r="B199" s="167" t="str">
        <f>IF(A199="","",2.41*(MAX(A199,'Presión de Viento'!$C$35)/'Presión de Viento'!$C$34)^(2/'Presión de Viento'!$C$33))</f>
        <v/>
      </c>
      <c r="C199" s="166" t="str">
        <f>IF(A199="","",0.613*'Presión de Viento'!$C$20*B199*'Presión de Viento'!$C$22*'Presión de Viento'!$C$23*'Presión de Viento'!$C$18^2/9.80665)</f>
        <v/>
      </c>
      <c r="E199" s="176" t="s">
        <v>394</v>
      </c>
      <c r="F199" s="175">
        <f t="shared" si="2"/>
        <v>0</v>
      </c>
      <c r="N199"/>
      <c r="O199"/>
      <c r="R199"/>
      <c r="S199"/>
      <c r="T199"/>
      <c r="U199"/>
      <c r="V199"/>
      <c r="W199"/>
      <c r="X199"/>
    </row>
    <row r="200" spans="1:24">
      <c r="A200" s="166" t="str">
        <f>IF((ROW()-16)*0.1&gt;'Presión de Viento'!$C$9,"",(ROW()-16)*0.1)</f>
        <v/>
      </c>
      <c r="B200" s="167" t="str">
        <f>IF(A200="","",2.41*(MAX(A200,'Presión de Viento'!$C$35)/'Presión de Viento'!$C$34)^(2/'Presión de Viento'!$C$33))</f>
        <v/>
      </c>
      <c r="C200" s="166" t="str">
        <f>IF(A200="","",0.613*'Presión de Viento'!$C$20*B200*'Presión de Viento'!$C$22*'Presión de Viento'!$C$23*'Presión de Viento'!$C$18^2/9.80665)</f>
        <v/>
      </c>
      <c r="E200" s="176" t="s">
        <v>395</v>
      </c>
      <c r="F200" s="175">
        <f t="shared" si="2"/>
        <v>0</v>
      </c>
      <c r="N200"/>
      <c r="O200"/>
      <c r="R200"/>
      <c r="S200"/>
      <c r="T200"/>
      <c r="U200"/>
      <c r="V200"/>
      <c r="W200"/>
      <c r="X200"/>
    </row>
    <row r="201" spans="1:24">
      <c r="A201" s="166" t="str">
        <f>IF((ROW()-16)*0.1&gt;'Presión de Viento'!$C$9,"",(ROW()-16)*0.1)</f>
        <v/>
      </c>
      <c r="B201" s="167" t="str">
        <f>IF(A201="","",2.41*(MAX(A201,'Presión de Viento'!$C$35)/'Presión de Viento'!$C$34)^(2/'Presión de Viento'!$C$33))</f>
        <v/>
      </c>
      <c r="C201" s="166" t="str">
        <f>IF(A201="","",0.613*'Presión de Viento'!$C$20*B201*'Presión de Viento'!$C$22*'Presión de Viento'!$C$23*'Presión de Viento'!$C$18^2/9.80665)</f>
        <v/>
      </c>
      <c r="E201" s="176" t="s">
        <v>396</v>
      </c>
      <c r="F201" s="175">
        <f t="shared" si="2"/>
        <v>0</v>
      </c>
      <c r="N201"/>
      <c r="O201"/>
      <c r="R201"/>
      <c r="S201"/>
      <c r="T201"/>
      <c r="U201"/>
      <c r="V201"/>
      <c r="W201"/>
      <c r="X201"/>
    </row>
    <row r="202" spans="1:24">
      <c r="A202" s="166" t="str">
        <f>IF((ROW()-16)*0.1&gt;'Presión de Viento'!$C$9,"",(ROW()-16)*0.1)</f>
        <v/>
      </c>
      <c r="B202" s="167" t="str">
        <f>IF(A202="","",2.41*(MAX(A202,'Presión de Viento'!$C$35)/'Presión de Viento'!$C$34)^(2/'Presión de Viento'!$C$33))</f>
        <v/>
      </c>
      <c r="C202" s="166" t="str">
        <f>IF(A202="","",0.613*'Presión de Viento'!$C$20*B202*'Presión de Viento'!$C$22*'Presión de Viento'!$C$23*'Presión de Viento'!$C$18^2/9.80665)</f>
        <v/>
      </c>
      <c r="E202" s="176" t="s">
        <v>397</v>
      </c>
      <c r="F202" s="175">
        <f t="shared" si="2"/>
        <v>0</v>
      </c>
      <c r="N202"/>
      <c r="O202"/>
      <c r="R202"/>
      <c r="S202"/>
      <c r="T202"/>
      <c r="U202"/>
      <c r="V202"/>
      <c r="W202"/>
      <c r="X202"/>
    </row>
    <row r="203" spans="1:24">
      <c r="A203" s="166" t="str">
        <f>IF((ROW()-16)*0.1&gt;'Presión de Viento'!$C$9,"",(ROW()-16)*0.1)</f>
        <v/>
      </c>
      <c r="B203" s="167" t="str">
        <f>IF(A203="","",2.41*(MAX(A203,'Presión de Viento'!$C$35)/'Presión de Viento'!$C$34)^(2/'Presión de Viento'!$C$33))</f>
        <v/>
      </c>
      <c r="C203" s="166" t="str">
        <f>IF(A203="","",0.613*'Presión de Viento'!$C$20*B203*'Presión de Viento'!$C$22*'Presión de Viento'!$C$23*'Presión de Viento'!$C$18^2/9.80665)</f>
        <v/>
      </c>
      <c r="E203" s="176" t="s">
        <v>398</v>
      </c>
      <c r="F203" s="175">
        <f t="shared" si="2"/>
        <v>0</v>
      </c>
      <c r="N203"/>
      <c r="O203"/>
      <c r="R203"/>
      <c r="S203"/>
      <c r="T203"/>
      <c r="U203"/>
      <c r="V203"/>
      <c r="W203"/>
      <c r="X203"/>
    </row>
    <row r="204" spans="1:24">
      <c r="A204" s="166" t="str">
        <f>IF((ROW()-16)*0.1&gt;'Presión de Viento'!$C$9,"",(ROW()-16)*0.1)</f>
        <v/>
      </c>
      <c r="B204" s="167" t="str">
        <f>IF(A204="","",2.41*(MAX(A204,'Presión de Viento'!$C$35)/'Presión de Viento'!$C$34)^(2/'Presión de Viento'!$C$33))</f>
        <v/>
      </c>
      <c r="C204" s="166" t="str">
        <f>IF(A204="","",0.613*'Presión de Viento'!$C$20*B204*'Presión de Viento'!$C$22*'Presión de Viento'!$C$23*'Presión de Viento'!$C$18^2/9.80665)</f>
        <v/>
      </c>
      <c r="E204" s="176" t="s">
        <v>399</v>
      </c>
      <c r="F204" s="175">
        <f t="shared" si="2"/>
        <v>0</v>
      </c>
      <c r="N204"/>
      <c r="O204"/>
      <c r="R204"/>
      <c r="S204"/>
      <c r="T204"/>
      <c r="U204"/>
      <c r="V204"/>
      <c r="W204"/>
      <c r="X204"/>
    </row>
    <row r="205" spans="1:24">
      <c r="A205" s="166" t="str">
        <f>IF((ROW()-16)*0.1&gt;'Presión de Viento'!$C$9,"",(ROW()-16)*0.1)</f>
        <v/>
      </c>
      <c r="B205" s="167" t="str">
        <f>IF(A205="","",2.41*(MAX(A205,'Presión de Viento'!$C$35)/'Presión de Viento'!$C$34)^(2/'Presión de Viento'!$C$33))</f>
        <v/>
      </c>
      <c r="C205" s="166" t="str">
        <f>IF(A205="","",0.613*'Presión de Viento'!$C$20*B205*'Presión de Viento'!$C$22*'Presión de Viento'!$C$23*'Presión de Viento'!$C$18^2/9.80665)</f>
        <v/>
      </c>
      <c r="E205" s="176" t="s">
        <v>400</v>
      </c>
      <c r="F205" s="175">
        <f t="shared" si="2"/>
        <v>0</v>
      </c>
      <c r="N205"/>
      <c r="O205"/>
      <c r="R205"/>
      <c r="S205"/>
      <c r="T205"/>
      <c r="U205"/>
      <c r="V205"/>
      <c r="W205"/>
      <c r="X205"/>
    </row>
    <row r="206" spans="1:24">
      <c r="A206" s="166" t="str">
        <f>IF((ROW()-16)*0.1&gt;'Presión de Viento'!$C$9,"",(ROW()-16)*0.1)</f>
        <v/>
      </c>
      <c r="B206" s="167" t="str">
        <f>IF(A206="","",2.41*(MAX(A206,'Presión de Viento'!$C$35)/'Presión de Viento'!$C$34)^(2/'Presión de Viento'!$C$33))</f>
        <v/>
      </c>
      <c r="C206" s="166" t="str">
        <f>IF(A206="","",0.613*'Presión de Viento'!$C$20*B206*'Presión de Viento'!$C$22*'Presión de Viento'!$C$23*'Presión de Viento'!$C$18^2/9.80665)</f>
        <v/>
      </c>
      <c r="E206" s="176" t="s">
        <v>401</v>
      </c>
      <c r="F206" s="175">
        <f t="shared" si="2"/>
        <v>0</v>
      </c>
      <c r="N206"/>
      <c r="O206"/>
      <c r="R206"/>
      <c r="S206"/>
      <c r="T206"/>
      <c r="U206"/>
      <c r="V206"/>
      <c r="W206"/>
      <c r="X206"/>
    </row>
    <row r="207" spans="1:24">
      <c r="A207" s="166" t="str">
        <f>IF((ROW()-16)*0.1&gt;'Presión de Viento'!$C$9,"",(ROW()-16)*0.1)</f>
        <v/>
      </c>
      <c r="B207" s="167" t="str">
        <f>IF(A207="","",2.41*(MAX(A207,'Presión de Viento'!$C$35)/'Presión de Viento'!$C$34)^(2/'Presión de Viento'!$C$33))</f>
        <v/>
      </c>
      <c r="C207" s="166" t="str">
        <f>IF(A207="","",0.613*'Presión de Viento'!$C$20*B207*'Presión de Viento'!$C$22*'Presión de Viento'!$C$23*'Presión de Viento'!$C$18^2/9.80665)</f>
        <v/>
      </c>
      <c r="E207" s="176" t="s">
        <v>402</v>
      </c>
      <c r="F207" s="175">
        <f t="shared" si="2"/>
        <v>0</v>
      </c>
      <c r="N207"/>
      <c r="O207"/>
      <c r="R207"/>
      <c r="S207"/>
      <c r="T207"/>
      <c r="U207"/>
      <c r="V207"/>
      <c r="W207"/>
      <c r="X207"/>
    </row>
    <row r="208" spans="1:24">
      <c r="A208" s="166" t="str">
        <f>IF((ROW()-16)*0.1&gt;'Presión de Viento'!$C$9,"",(ROW()-16)*0.1)</f>
        <v/>
      </c>
      <c r="B208" s="167" t="str">
        <f>IF(A208="","",2.41*(MAX(A208,'Presión de Viento'!$C$35)/'Presión de Viento'!$C$34)^(2/'Presión de Viento'!$C$33))</f>
        <v/>
      </c>
      <c r="C208" s="166" t="str">
        <f>IF(A208="","",0.613*'Presión de Viento'!$C$20*B208*'Presión de Viento'!$C$22*'Presión de Viento'!$C$23*'Presión de Viento'!$C$18^2/9.80665)</f>
        <v/>
      </c>
      <c r="E208" s="176" t="s">
        <v>403</v>
      </c>
      <c r="F208" s="175">
        <f t="shared" si="2"/>
        <v>0</v>
      </c>
      <c r="N208"/>
      <c r="O208"/>
      <c r="R208"/>
      <c r="S208"/>
      <c r="T208"/>
      <c r="U208"/>
      <c r="V208"/>
      <c r="W208"/>
      <c r="X208"/>
    </row>
    <row r="209" spans="1:24">
      <c r="A209" s="166" t="str">
        <f>IF((ROW()-16)*0.1&gt;'Presión de Viento'!$C$9,"",(ROW()-16)*0.1)</f>
        <v/>
      </c>
      <c r="B209" s="167" t="str">
        <f>IF(A209="","",2.41*(MAX(A209,'Presión de Viento'!$C$35)/'Presión de Viento'!$C$34)^(2/'Presión de Viento'!$C$33))</f>
        <v/>
      </c>
      <c r="C209" s="166" t="str">
        <f>IF(A209="","",0.613*'Presión de Viento'!$C$20*B209*'Presión de Viento'!$C$22*'Presión de Viento'!$C$23*'Presión de Viento'!$C$18^2/9.80665)</f>
        <v/>
      </c>
      <c r="E209" s="176" t="s">
        <v>404</v>
      </c>
      <c r="F209" s="175">
        <f t="shared" ref="F209:F215" si="3">IF(A209="",0,C209)</f>
        <v>0</v>
      </c>
      <c r="N209"/>
      <c r="O209"/>
      <c r="R209"/>
      <c r="S209"/>
      <c r="T209"/>
      <c r="U209"/>
      <c r="V209"/>
      <c r="W209"/>
      <c r="X209"/>
    </row>
    <row r="210" spans="1:24">
      <c r="A210" s="166" t="str">
        <f>IF((ROW()-16)*0.1&gt;'Presión de Viento'!$C$9,"",(ROW()-16)*0.1)</f>
        <v/>
      </c>
      <c r="B210" s="167" t="str">
        <f>IF(A210="","",2.41*(MAX(A210,'Presión de Viento'!$C$35)/'Presión de Viento'!$C$34)^(2/'Presión de Viento'!$C$33))</f>
        <v/>
      </c>
      <c r="C210" s="166" t="str">
        <f>IF(A210="","",0.613*'Presión de Viento'!$C$20*B210*'Presión de Viento'!$C$22*'Presión de Viento'!$C$23*'Presión de Viento'!$C$18^2/9.80665)</f>
        <v/>
      </c>
      <c r="E210" s="176" t="s">
        <v>405</v>
      </c>
      <c r="F210" s="175">
        <f t="shared" si="3"/>
        <v>0</v>
      </c>
      <c r="N210"/>
      <c r="O210"/>
      <c r="R210"/>
      <c r="S210"/>
      <c r="T210"/>
      <c r="U210"/>
      <c r="V210"/>
      <c r="W210"/>
      <c r="X210"/>
    </row>
    <row r="211" spans="1:24">
      <c r="A211" s="166" t="str">
        <f>IF((ROW()-16)*0.1&gt;'Presión de Viento'!$C$9,"",(ROW()-16)*0.1)</f>
        <v/>
      </c>
      <c r="B211" s="167" t="str">
        <f>IF(A211="","",2.41*(MAX(A211,'Presión de Viento'!$C$35)/'Presión de Viento'!$C$34)^(2/'Presión de Viento'!$C$33))</f>
        <v/>
      </c>
      <c r="C211" s="166" t="str">
        <f>IF(A211="","",0.613*'Presión de Viento'!$C$20*B211*'Presión de Viento'!$C$22*'Presión de Viento'!$C$23*'Presión de Viento'!$C$18^2/9.80665)</f>
        <v/>
      </c>
      <c r="E211" s="176" t="s">
        <v>406</v>
      </c>
      <c r="F211" s="175">
        <f t="shared" si="3"/>
        <v>0</v>
      </c>
      <c r="N211"/>
      <c r="O211"/>
      <c r="R211"/>
      <c r="S211"/>
      <c r="T211"/>
      <c r="U211"/>
      <c r="V211"/>
      <c r="W211"/>
      <c r="X211"/>
    </row>
    <row r="212" spans="1:24">
      <c r="A212" s="166" t="str">
        <f>IF((ROW()-16)*0.1&gt;'Presión de Viento'!$C$9,"",(ROW()-16)*0.1)</f>
        <v/>
      </c>
      <c r="B212" s="167" t="str">
        <f>IF(A212="","",2.41*(MAX(A212,'Presión de Viento'!$C$35)/'Presión de Viento'!$C$34)^(2/'Presión de Viento'!$C$33))</f>
        <v/>
      </c>
      <c r="C212" s="166" t="str">
        <f>IF(A212="","",0.613*'Presión de Viento'!$C$20*B212*'Presión de Viento'!$C$22*'Presión de Viento'!$C$23*'Presión de Viento'!$C$18^2/9.80665)</f>
        <v/>
      </c>
      <c r="E212" s="176" t="s">
        <v>407</v>
      </c>
      <c r="F212" s="175">
        <f t="shared" si="3"/>
        <v>0</v>
      </c>
      <c r="N212"/>
      <c r="O212"/>
      <c r="R212"/>
      <c r="S212"/>
      <c r="T212"/>
      <c r="U212"/>
      <c r="V212"/>
      <c r="W212"/>
      <c r="X212"/>
    </row>
    <row r="213" spans="1:24">
      <c r="A213" s="166" t="str">
        <f>IF((ROW()-16)*0.1&gt;'Presión de Viento'!$C$9,"",(ROW()-16)*0.1)</f>
        <v/>
      </c>
      <c r="B213" s="167" t="str">
        <f>IF(A213="","",2.41*(MAX(A213,'Presión de Viento'!$C$35)/'Presión de Viento'!$C$34)^(2/'Presión de Viento'!$C$33))</f>
        <v/>
      </c>
      <c r="C213" s="166" t="str">
        <f>IF(A213="","",0.613*'Presión de Viento'!$C$20*B213*'Presión de Viento'!$C$22*'Presión de Viento'!$C$23*'Presión de Viento'!$C$18^2/9.80665)</f>
        <v/>
      </c>
      <c r="E213" s="176" t="s">
        <v>408</v>
      </c>
      <c r="F213" s="175">
        <f t="shared" si="3"/>
        <v>0</v>
      </c>
      <c r="N213"/>
      <c r="O213"/>
      <c r="R213"/>
      <c r="S213"/>
      <c r="T213"/>
      <c r="U213"/>
      <c r="V213"/>
      <c r="W213"/>
      <c r="X213"/>
    </row>
    <row r="214" spans="1:24">
      <c r="A214" s="166" t="str">
        <f>IF((ROW()-16)*0.1&gt;'Presión de Viento'!$C$9,"",(ROW()-16)*0.1)</f>
        <v/>
      </c>
      <c r="B214" s="167" t="str">
        <f>IF(A214="","",2.41*(MAX(A214,'Presión de Viento'!$C$35)/'Presión de Viento'!$C$34)^(2/'Presión de Viento'!$C$33))</f>
        <v/>
      </c>
      <c r="C214" s="166" t="str">
        <f>IF(A214="","",0.613*'Presión de Viento'!$C$20*B214*'Presión de Viento'!$C$22*'Presión de Viento'!$C$23*'Presión de Viento'!$C$18^2/9.80665)</f>
        <v/>
      </c>
      <c r="E214" s="176" t="s">
        <v>409</v>
      </c>
      <c r="F214" s="175">
        <f t="shared" si="3"/>
        <v>0</v>
      </c>
      <c r="N214"/>
      <c r="O214"/>
      <c r="R214"/>
      <c r="S214"/>
      <c r="T214"/>
      <c r="U214"/>
      <c r="V214"/>
      <c r="W214"/>
      <c r="X214"/>
    </row>
    <row r="215" spans="1:24">
      <c r="A215" s="166" t="str">
        <f>IF((ROW()-16)*0.1&gt;'Presión de Viento'!$C$9,"",(ROW()-16)*0.1)</f>
        <v/>
      </c>
      <c r="B215" s="167" t="str">
        <f>IF(A215="","",2.41*(MAX(A215,'Presión de Viento'!$C$35)/'Presión de Viento'!$C$34)^(2/'Presión de Viento'!$C$33))</f>
        <v/>
      </c>
      <c r="C215" s="166" t="str">
        <f>IF(A215="","",0.613*'Presión de Viento'!$C$20*B215*'Presión de Viento'!$C$22*'Presión de Viento'!$C$23*'Presión de Viento'!$C$18^2/9.80665)</f>
        <v/>
      </c>
      <c r="E215" s="176" t="s">
        <v>410</v>
      </c>
      <c r="F215" s="175">
        <f t="shared" si="3"/>
        <v>0</v>
      </c>
      <c r="N215"/>
      <c r="O215"/>
      <c r="R215"/>
      <c r="S215"/>
      <c r="T215"/>
      <c r="U215"/>
      <c r="V215"/>
      <c r="W215"/>
      <c r="X215"/>
    </row>
  </sheetData>
  <mergeCells count="4">
    <mergeCell ref="A1:H1"/>
    <mergeCell ref="A2:H2"/>
    <mergeCell ref="A4:C4"/>
    <mergeCell ref="A12:H12"/>
  </mergeCells>
  <conditionalFormatting sqref="A16:C215">
    <cfRule type="expression" dxfId="0" priority="3">
      <formula>AND($A16&lt;&gt;"",MOD(ROW(),2)=0)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876D1FE5-967C-4AEB-AA23-D8D26CBF4412}">
            <xm:f>AND($A16&lt;&gt;"",$A16='Presión de Viento'!$C$9)</xm:f>
            <x14:dxf>
              <font>
                <b/>
                <i val="0"/>
                <color rgb="FFFFFFFF"/>
              </font>
              <fill>
                <patternFill patternType="solid">
                  <fgColor indexed="64"/>
                  <bgColor rgb="FF1A3050"/>
                </patternFill>
              </fill>
            </x14:dxf>
          </x14:cfRule>
          <x14:cfRule type="expression" priority="2" id="{FB95232D-5649-4977-919E-DE72E18DA539}">
            <xm:f>AND($A16&lt;&gt;"",$A16='Presión de Viento'!$C$8)</xm:f>
            <x14:dxf>
              <font>
                <b/>
                <i val="0"/>
                <color rgb="FFFFFFFF"/>
              </font>
              <fill>
                <patternFill patternType="solid">
                  <fgColor indexed="64"/>
                  <bgColor rgb="FFE8763A"/>
                </patternFill>
              </fill>
            </x14:dxf>
          </x14:cfRule>
          <xm:sqref>A16:C215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210A-4921-42AC-AD6C-AD7758C76A55}">
  <dimension ref="A2:I178"/>
  <sheetViews>
    <sheetView zoomScale="70" zoomScaleNormal="70" workbookViewId="0">
      <selection activeCell="A34" sqref="A34"/>
    </sheetView>
  </sheetViews>
  <sheetFormatPr baseColWidth="10" defaultRowHeight="14.25"/>
  <cols>
    <col min="1" max="1" width="41.86328125" bestFit="1" customWidth="1"/>
    <col min="2" max="2" width="22" bestFit="1" customWidth="1"/>
    <col min="3" max="3" width="20.73046875" bestFit="1" customWidth="1"/>
    <col min="4" max="4" width="25.9296875" bestFit="1" customWidth="1"/>
    <col min="5" max="5" width="21.06640625" bestFit="1" customWidth="1"/>
    <col min="6" max="6" width="24" customWidth="1"/>
  </cols>
  <sheetData>
    <row r="2" spans="1:5">
      <c r="A2" s="13" t="s">
        <v>32</v>
      </c>
    </row>
    <row r="3" spans="1:5">
      <c r="A3" s="3" t="s">
        <v>6</v>
      </c>
      <c r="B3" s="3" t="s">
        <v>7</v>
      </c>
      <c r="C3" s="3"/>
    </row>
    <row r="4" spans="1:5">
      <c r="A4" s="4" t="s">
        <v>35</v>
      </c>
      <c r="B4" s="24">
        <f>'Resumen Cp'!B4</f>
        <v>8.85</v>
      </c>
      <c r="C4" s="4" t="s">
        <v>34</v>
      </c>
    </row>
    <row r="5" spans="1:5">
      <c r="A5" s="4" t="s">
        <v>36</v>
      </c>
      <c r="B5" s="24">
        <f>'Resumen Cp'!B5</f>
        <v>7.53</v>
      </c>
      <c r="C5" s="4" t="s">
        <v>34</v>
      </c>
    </row>
    <row r="6" spans="1:5">
      <c r="A6" s="4" t="s">
        <v>1</v>
      </c>
      <c r="B6" s="24">
        <f>'Resumen Cp'!B6</f>
        <v>83.5</v>
      </c>
      <c r="C6" s="4" t="s">
        <v>34</v>
      </c>
    </row>
    <row r="7" spans="1:5">
      <c r="A7" s="4" t="s">
        <v>33</v>
      </c>
      <c r="B7" s="24">
        <f>'Resumen Cp'!B7</f>
        <v>50</v>
      </c>
      <c r="C7" s="4" t="s">
        <v>34</v>
      </c>
      <c r="D7" s="1" t="s">
        <v>64</v>
      </c>
    </row>
    <row r="8" spans="1:5">
      <c r="A8" s="4" t="s">
        <v>0</v>
      </c>
      <c r="B8" s="22">
        <f>AVERAGE(B4:B5)</f>
        <v>8.19</v>
      </c>
      <c r="C8" s="4" t="s">
        <v>34</v>
      </c>
      <c r="D8" s="1" t="s">
        <v>63</v>
      </c>
    </row>
    <row r="9" spans="1:5">
      <c r="A9" s="4" t="s">
        <v>10</v>
      </c>
      <c r="B9" s="24">
        <f>DEGREES(ATAN((B4-B5)/(B7/2)))</f>
        <v>3.0224105775750649</v>
      </c>
      <c r="C9" s="4" t="s">
        <v>56</v>
      </c>
      <c r="D9" s="1" t="s">
        <v>65</v>
      </c>
      <c r="E9" s="4"/>
    </row>
    <row r="10" spans="1:5">
      <c r="D10" s="4"/>
      <c r="E10" s="4"/>
    </row>
    <row r="11" spans="1:5">
      <c r="C11" s="4"/>
      <c r="D11" s="4"/>
      <c r="E11" s="4"/>
    </row>
    <row r="12" spans="1:5" ht="27" customHeight="1">
      <c r="A12" s="240" t="s">
        <v>67</v>
      </c>
      <c r="B12" s="240"/>
      <c r="C12" s="240"/>
      <c r="D12" s="240"/>
      <c r="E12" s="4"/>
    </row>
    <row r="13" spans="1:5">
      <c r="A13" s="13" t="s">
        <v>58</v>
      </c>
      <c r="C13" s="4"/>
      <c r="D13" s="4"/>
      <c r="E13" s="4"/>
    </row>
    <row r="14" spans="1:5">
      <c r="C14" s="4"/>
      <c r="D14" s="4"/>
      <c r="E14" s="4"/>
    </row>
    <row r="15" spans="1:5">
      <c r="A15" t="s">
        <v>1</v>
      </c>
      <c r="B15" s="23">
        <f>B6</f>
        <v>83.5</v>
      </c>
      <c r="C15" s="4"/>
      <c r="D15" s="4"/>
      <c r="E15" s="4"/>
    </row>
    <row r="16" spans="1:5">
      <c r="A16" t="s">
        <v>33</v>
      </c>
      <c r="B16" s="23">
        <f>B7</f>
        <v>50</v>
      </c>
      <c r="C16" s="4"/>
      <c r="D16" s="4"/>
      <c r="E16" s="4"/>
    </row>
    <row r="17" spans="1:9">
      <c r="A17" s="4" t="s">
        <v>2</v>
      </c>
      <c r="B17" s="23">
        <f>B8/B6</f>
        <v>9.808383233532933E-2</v>
      </c>
      <c r="C17" s="4"/>
      <c r="D17" s="4"/>
      <c r="E17" s="4"/>
    </row>
    <row r="18" spans="1:9">
      <c r="A18" t="s">
        <v>66</v>
      </c>
      <c r="B18" s="23">
        <f>B6/B7</f>
        <v>1.67</v>
      </c>
      <c r="C18" s="4"/>
      <c r="D18" s="4"/>
      <c r="E18" s="4"/>
    </row>
    <row r="19" spans="1:9">
      <c r="C19" s="4"/>
      <c r="D19" s="4"/>
      <c r="E19" s="4"/>
    </row>
    <row r="20" spans="1:9">
      <c r="A20" s="25" t="s">
        <v>68</v>
      </c>
      <c r="B20" s="28">
        <v>0.8</v>
      </c>
      <c r="C20" s="27" t="s">
        <v>70</v>
      </c>
      <c r="D20" s="4"/>
      <c r="E20" s="4"/>
    </row>
    <row r="21" spans="1:9">
      <c r="A21" s="25" t="s">
        <v>11</v>
      </c>
      <c r="B21" s="28">
        <f>IF(B18&lt;=1, -0.5, IF(B18&gt;=4, -0.2, IF(B18&lt;=2, -0.5+(B18-1)*(-0.3-(-0.5))/(2-1), -0.3+(B18-2)*(-0.2-(-0.3))/(4-2))))</f>
        <v>-0.36599999999999999</v>
      </c>
      <c r="C21" s="27" t="s">
        <v>71</v>
      </c>
      <c r="D21" s="4"/>
      <c r="E21" s="4"/>
    </row>
    <row r="22" spans="1:9">
      <c r="A22" s="25" t="s">
        <v>69</v>
      </c>
      <c r="B22" s="28">
        <v>-0.7</v>
      </c>
      <c r="C22" s="27" t="s">
        <v>71</v>
      </c>
      <c r="D22" s="4"/>
      <c r="E22" s="4"/>
    </row>
    <row r="23" spans="1:9">
      <c r="C23" s="4"/>
      <c r="D23" s="4"/>
      <c r="E23" s="4"/>
    </row>
    <row r="25" spans="1:9">
      <c r="A25" s="13" t="s">
        <v>59</v>
      </c>
    </row>
    <row r="28" spans="1:9">
      <c r="A28" s="3" t="s">
        <v>8</v>
      </c>
      <c r="B28" s="3" t="s">
        <v>9</v>
      </c>
    </row>
    <row r="29" spans="1:9">
      <c r="A29" s="3" t="s">
        <v>27</v>
      </c>
      <c r="B29" s="12" t="str" cm="1">
        <f t="array" ref="B29">IF(TRUE,"No Aplica",IF(B9&gt;=80,0.8,IF(B9&gt;60,0.01*B9,IF(B9&lt;10,"Techo Plano",((INDEX(B32:I32,MATCH(B9,B32:I32,1)+1)-B9)/(INDEX(B32:I32,MATCH(B9,B32:I32,1)+1)-INDEX(B32:I32,MATCH(B9,B32:I32,1)))*INDEX(B33:I35,IF(B17&lt;=0.25,1,MATCH(MIN(B17,1),A33:A35,1)),MATCH(B9,B32:I32,1))+(B9-INDEX(B32:I32,MATCH(B9,B32:I32,1)))/(INDEX(B32:I32,MATCH(B9,B32:I32,1)+1)-INDEX(B32:I32,MATCH(B9,B32:I32,1)))*INDEX(B33:I35,IF(B17&lt;=0.25,1,MATCH(MIN(B17,1),A33:A35,1)),MATCH(B9,B32:I32,1)+1))*(IF(B17&gt;=1,1,INDEX(A33:A35,IF(B17&lt;=0.25,1,MATCH(MIN(B17,1),A33:A35,1))+1))-IF(B17&lt;=0.25,0.25,MIN(B17,1)))/(IF(B17&gt;=1,1,INDEX(A33:A35,IF(B17&lt;=0.25,1,MATCH(MIN(B17,1),A33:A35,1))+1))-IF(B17&lt;=0.25,0.25,INDEX(A33:A35,MATCH(MIN(B17,1),A33:A35,1))))+((INDEX(B32:I32,MATCH(B9,B32:I32,1)+1)-B9)/(INDEX(B32:I32,MATCH(B9,B32:I32,1)+1)-INDEX(B32:I32,MATCH(B9,B32:I32,1)))*INDEX(B33:I35,IF(B17&gt;=1,3,IF(B17&lt;=0.25,1,MATCH(MIN(B17,1),A33:A35,1))+1),MATCH(B9,B32:I32,1))+(B9-INDEX(B32:I32,MATCH(B9,B32:I32,1)))/(INDEX(B32:I32,MATCH(B9,B32:I32,1)+1)-INDEX(B32:I32,MATCH(B9,B32:I32,1)))*INDEX(B33:I35,IF(B17&gt;=1,3,IF(B17&lt;=0.25,1,MATCH(MIN(B17,1),A33:A35,1))+1),MATCH(B9,B32:I32,1)+1))*(IF(B17&lt;=0.25,0.25,MIN(B17,1))-IF(B17&lt;=0.25,0.25,INDEX(A33:A35,MATCH(MIN(B17,1),A33:A35,1))))/(IF(B17&gt;=1,1,INDEX(A33:A35,IF(B17&lt;=0.25,1,MATCH(MIN(B17,1),A33:A35,1))+1))-IF(B17&lt;=0.25,0.25,INDEX(A33:A35,MATCH(MIN(B17,1),A33:A35,1))))))))</f>
        <v>No Aplica</v>
      </c>
    </row>
    <row r="30" spans="1:9">
      <c r="A30" s="3" t="s">
        <v>28</v>
      </c>
      <c r="B30" s="12" t="str" cm="1">
        <f t="array" ref="B30">IF(TRUE,"No Aplica",IF(B9&gt;=80,0.8,IF(B9&gt;60,0.01*B9,IF(B9&lt;10,"Techo Plano",((INDEX(B37:I37,MATCH(B9,B37:I37,1)+1)-B9)/(INDEX(B37:I37,MATCH(B9,B37:I37,1)+1)-INDEX(B37:I37,MATCH(B9,B37:I37,1)))*INDEX(B38:I40,IF(B17&lt;=0.25,1,MATCH(MIN(B17,1),A38:A40,1)),MATCH(B9,B37:I37,1))+(B9-INDEX(B37:I37,MATCH(B9,B37:I37,1)))/(INDEX(B37:I37,MATCH(B9,B37:I37,1)+1)-INDEX(B37:I37,MATCH(B9,B37:I37,1)))*INDEX(B38:I40,IF(B17&lt;=0.25,1,MATCH(MIN(B17,1),A38:A40,1)),MATCH(B9,B37:I37,1)+1))*(IF(B17&gt;=1,1,INDEX(A38:A40,IF(B17&lt;=0.25,1,MATCH(MIN(B17,1),A38:A40,1))+1))-IF(B17&lt;=0.25,0.25,MIN(B17,1)))/(IF(B17&gt;=1,1,INDEX(A38:A40,IF(B17&lt;=0.25,1,MATCH(MIN(B17,1),A38:A40,1))+1))-IF(B17&lt;=0.25,0.25,INDEX(A38:A40,MATCH(MIN(B17,1),A38:A40,1))))+((INDEX(B37:I37,MATCH(B9,B37:I37,1)+1)-B9)/(INDEX(B37:I37,MATCH(B9,B37:I37,1)+1)-INDEX(B37:I37,MATCH(B9,B37:I37,1)))*INDEX(B38:I40,IF(B17&gt;=1,3,IF(B17&lt;=0.25,1,MATCH(MIN(B17,1),A38:A40,1))+1),MATCH(B9,B37:I37,1))+(B9-INDEX(B37:I37,MATCH(B9,B37:I37,1)))/(INDEX(B37:I37,MATCH(B9,B37:I37,1)+1)-INDEX(B37:I37,MATCH(B9,B37:I37,1)))*INDEX(B38:I40,IF(B17&gt;=1,3,IF(B17&lt;=0.25,1,MATCH(MIN(B17,1),A38:A40,1))+1),MATCH(B9,B37:I37,1)+1))*(IF(B17&lt;=0.25,0.25,MIN(B17,1))-IF(B17&lt;=0.25,0.25,INDEX(A38:A40,MATCH(MIN(B17,1),A38:A40,1))))/(IF(B17&gt;=1,1,INDEX(A38:A40,IF(B17&lt;=0.25,1,MATCH(MIN(B17,1),A38:A40,1))+1))-IF(B17&lt;=0.25,0.25,INDEX(A38:A40,MATCH(MIN(B17,1),A38:A40,1))))))))</f>
        <v>No Aplica</v>
      </c>
    </row>
    <row r="32" spans="1:9">
      <c r="A32" s="3" t="s">
        <v>2</v>
      </c>
      <c r="B32" s="3">
        <v>10</v>
      </c>
      <c r="C32" s="3">
        <v>15</v>
      </c>
      <c r="D32" s="3">
        <v>20</v>
      </c>
      <c r="E32" s="3">
        <v>25</v>
      </c>
      <c r="F32" s="3">
        <v>30</v>
      </c>
      <c r="G32" s="3">
        <v>35</v>
      </c>
      <c r="H32" s="3">
        <v>45</v>
      </c>
      <c r="I32" s="3">
        <v>60</v>
      </c>
    </row>
    <row r="33" spans="1:9">
      <c r="A33" s="3">
        <v>0.25</v>
      </c>
      <c r="B33" s="4">
        <v>-0.7</v>
      </c>
      <c r="C33" s="4">
        <v>-0.5</v>
      </c>
      <c r="D33" s="4">
        <v>-0.3</v>
      </c>
      <c r="E33" s="4">
        <v>-0.2</v>
      </c>
      <c r="F33" s="4">
        <v>-0.2</v>
      </c>
      <c r="G33" s="4">
        <v>0</v>
      </c>
      <c r="H33" s="4">
        <v>0</v>
      </c>
      <c r="I33" s="4">
        <v>0.6</v>
      </c>
    </row>
    <row r="34" spans="1:9">
      <c r="A34" s="3">
        <v>0.5</v>
      </c>
      <c r="B34" s="4">
        <v>-0.9</v>
      </c>
      <c r="C34" s="4">
        <v>-0.7</v>
      </c>
      <c r="D34" s="4">
        <v>-0.4</v>
      </c>
      <c r="E34" s="4">
        <v>-0.3</v>
      </c>
      <c r="F34" s="4">
        <v>-0.2</v>
      </c>
      <c r="G34" s="4">
        <v>-0.2</v>
      </c>
      <c r="H34" s="4">
        <v>0</v>
      </c>
      <c r="I34" s="4">
        <v>0.6</v>
      </c>
    </row>
    <row r="35" spans="1:9">
      <c r="A35" s="3">
        <v>1</v>
      </c>
      <c r="B35" s="4">
        <v>-1.3</v>
      </c>
      <c r="C35" s="4">
        <v>-1</v>
      </c>
      <c r="D35" s="4">
        <v>-0.7</v>
      </c>
      <c r="E35" s="4">
        <v>-0.5</v>
      </c>
      <c r="F35" s="4">
        <v>-0.3</v>
      </c>
      <c r="G35" s="4">
        <v>-0.2</v>
      </c>
      <c r="H35" s="4">
        <v>0</v>
      </c>
      <c r="I35" s="4">
        <v>0.6</v>
      </c>
    </row>
    <row r="36" spans="1:9">
      <c r="A36" s="4"/>
      <c r="B36" s="4"/>
      <c r="C36" s="4"/>
      <c r="D36" s="4"/>
      <c r="E36" s="4"/>
      <c r="F36" s="4"/>
      <c r="G36" s="4"/>
      <c r="H36" s="4"/>
      <c r="I36" s="4"/>
    </row>
    <row r="37" spans="1:9">
      <c r="A37" s="3" t="s">
        <v>2</v>
      </c>
      <c r="B37" s="3">
        <v>10</v>
      </c>
      <c r="C37" s="3">
        <v>15</v>
      </c>
      <c r="D37" s="3">
        <v>20</v>
      </c>
      <c r="E37" s="3">
        <v>25</v>
      </c>
      <c r="F37" s="3">
        <v>30</v>
      </c>
      <c r="G37" s="3">
        <v>35</v>
      </c>
      <c r="H37" s="3">
        <v>45</v>
      </c>
      <c r="I37" s="3">
        <v>60</v>
      </c>
    </row>
    <row r="38" spans="1:9">
      <c r="A38" s="3">
        <v>0.25</v>
      </c>
      <c r="B38" s="4">
        <v>-0.18</v>
      </c>
      <c r="C38" s="4">
        <v>0</v>
      </c>
      <c r="D38" s="4">
        <v>0.2</v>
      </c>
      <c r="E38" s="4">
        <v>0.3</v>
      </c>
      <c r="F38" s="4">
        <v>0.3</v>
      </c>
      <c r="G38" s="4">
        <v>0.4</v>
      </c>
      <c r="H38" s="4">
        <v>0.4</v>
      </c>
      <c r="I38" s="4">
        <v>0.6</v>
      </c>
    </row>
    <row r="39" spans="1:9">
      <c r="A39" s="3">
        <v>0.5</v>
      </c>
      <c r="B39" s="4">
        <v>-0.18</v>
      </c>
      <c r="C39" s="4">
        <v>-0.18</v>
      </c>
      <c r="D39" s="4">
        <v>0</v>
      </c>
      <c r="E39" s="4">
        <v>0.2</v>
      </c>
      <c r="F39" s="4">
        <v>0.2</v>
      </c>
      <c r="G39" s="4">
        <v>0.3</v>
      </c>
      <c r="H39" s="4">
        <v>0.4</v>
      </c>
      <c r="I39" s="4">
        <v>0.6</v>
      </c>
    </row>
    <row r="40" spans="1:9">
      <c r="A40" s="3">
        <v>1</v>
      </c>
      <c r="B40" s="4">
        <v>-0.18</v>
      </c>
      <c r="C40" s="4">
        <v>-0.18</v>
      </c>
      <c r="D40" s="4">
        <v>-0.18</v>
      </c>
      <c r="E40" s="4">
        <v>0</v>
      </c>
      <c r="F40" s="4">
        <v>0.2</v>
      </c>
      <c r="G40" s="4">
        <v>0.2</v>
      </c>
      <c r="H40" s="4">
        <v>0.3</v>
      </c>
      <c r="I40" s="4">
        <v>0.6</v>
      </c>
    </row>
    <row r="41" spans="1:9">
      <c r="A41" s="4"/>
      <c r="B41" s="4"/>
      <c r="C41" s="4"/>
      <c r="D41" s="4"/>
      <c r="E41" s="4"/>
      <c r="F41" s="4"/>
      <c r="G41" s="4"/>
      <c r="H41" s="4"/>
      <c r="I41" s="4"/>
    </row>
    <row r="42" spans="1:9">
      <c r="A42" s="4"/>
      <c r="B42" s="4"/>
      <c r="C42" s="4"/>
      <c r="D42" s="4"/>
      <c r="E42" s="4"/>
      <c r="F42" s="4"/>
      <c r="G42" s="4"/>
      <c r="H42" s="4"/>
      <c r="I42" s="4"/>
    </row>
    <row r="43" spans="1:9">
      <c r="A43" s="13" t="s">
        <v>60</v>
      </c>
      <c r="B43" s="4"/>
      <c r="C43" s="4"/>
      <c r="D43" s="4"/>
      <c r="E43" s="4"/>
      <c r="F43" s="4"/>
      <c r="G43" s="4"/>
      <c r="H43" s="4"/>
      <c r="I43" s="4"/>
    </row>
    <row r="44" spans="1:9">
      <c r="A44" s="4"/>
      <c r="B44" s="4"/>
      <c r="C44" s="4"/>
      <c r="D44" s="4"/>
      <c r="E44" s="4"/>
      <c r="F44" s="4"/>
      <c r="G44" s="4"/>
      <c r="H44" s="4"/>
      <c r="I44" s="4"/>
    </row>
    <row r="45" spans="1:9">
      <c r="A45" s="3" t="s">
        <v>6</v>
      </c>
      <c r="B45" s="3" t="s">
        <v>7</v>
      </c>
      <c r="C45" s="3"/>
      <c r="D45" s="3" t="s">
        <v>12</v>
      </c>
      <c r="E45" s="3" t="s">
        <v>9</v>
      </c>
      <c r="F45" s="4"/>
      <c r="G45" s="4"/>
      <c r="H45" s="4"/>
      <c r="I45" s="4"/>
    </row>
    <row r="46" spans="1:9">
      <c r="A46" s="4" t="s">
        <v>2</v>
      </c>
      <c r="B46" s="14">
        <f>B17</f>
        <v>9.808383233532933E-2</v>
      </c>
      <c r="C46" s="4"/>
      <c r="D46" s="9" t="s">
        <v>13</v>
      </c>
      <c r="E46" s="17" t="str" cm="1">
        <f t="array" ref="E46">IF(TRUE,"No Aplica",IF(B9&lt;10,"Techo Plano",((INDEX(B51:D53,MAX(1,IFERROR(MATCH(MAX(0.25,MIN(1,B46)),A51:A53,1),1)),MAX(1,MATCH(B47,B50:D50,1)))+IF(INDEX(B50:D50,1,MIN(3,MAX(1,MATCH(B47,B50:D50,1))+1))&lt;&gt;INDEX(B50:D50,1,MAX(1,MATCH(B47,B50:D50,1))),(B47-INDEX(B50:D50,1,MAX(1,MATCH(B47,B50:D50,1))))/(INDEX(B50:D50,1,MIN(3,MAX(1,MATCH(B47,B50:D50,1))+1))-INDEX(B50:D50,1,MAX(1,MATCH(B47,B50:D50,1)))),0)*(INDEX(B51:D53,MAX(1,IFERROR(MATCH(MAX(0.25,MIN(1,B46)),A51:A53,1),1)),MIN(3,MAX(1,MATCH(B47,B50:D50,1))+1))-INDEX(B51:D53,MAX(1,IFERROR(MATCH(MAX(0.25,MIN(1,B46)),A51:A53,1),1)),MAX(1,MATCH(B47,B50:D50,1)))))+IF(INDEX(A51:A53,MIN(3,MAX(1,IFERROR(MATCH(MAX(0.25,MIN(1,B46)),A51:A53,1),1))+1))&lt;&gt;INDEX(A51:A53,MAX(1,IFERROR(MATCH(MAX(0.25,MIN(1,B46)),A51:A53,1),1))),(MAX(0.25,MIN(1,B46))-INDEX(A51:A53,MAX(1,IFERROR(MATCH(MAX(0.25,MIN(1,B46)),A51:A53,1),1))))/(INDEX(A51:A53,MIN(3,MAX(1,IFERROR(MATCH(MAX(0.25,MIN(1,B46)),A51:A53,1),1))+1))-INDEX(A51:A53,MAX(1,IFERROR(MATCH(MAX(0.25,MIN(1,B46)),A51:A53,1),1)))),0)*((INDEX(B51:D53,MIN(3,MAX(1,IFERROR(MATCH(MAX(0.25,MIN(1,B46)),A51:A53,1),1))+1),MAX(1,MATCH(B47,B50:D50,1)))+IF(INDEX(B50:D50,1,MIN(3,MAX(1,MATCH(B47,B50:D50,1))+1))&lt;&gt;INDEX(B50:D50,1,MAX(1,MATCH(B47,B50:D50,1))),(B47-INDEX(B50:D50,1,MAX(1,MATCH(B47,B50:D50,1))))/(INDEX(B50:D50,1,MIN(3,MAX(1,MATCH(B47,B50:D50,1))+1))-INDEX(B50:D50,1,MAX(1,MATCH(B47,B50:D50,1)))),0)*(INDEX(B51:D53,MIN(3,MAX(1,IFERROR(MATCH(MAX(0.25,MIN(1,B46)),A51:A53,1),1))+1),MIN(3,MAX(1,MATCH(B47,B50:D50,1))+1))-INDEX(B51:D53,MIN(3,MAX(1,IFERROR(MATCH(MAX(0.25,MIN(1,B46)),A51:A53,1),1))+1),MAX(1,MATCH(B47,B50:D50,1)))))-(INDEX(B51:D53,MAX(1,IFERROR(MATCH(MAX(0.25,MIN(1,B46)),A51:A53,1),1)),MAX(1,MATCH(B47,B50:D50,1)))+IF(INDEX(B50:D50,1,MIN(3,MAX(1,MATCH(B47,B50:D50,1))+1))&lt;&gt;INDEX(B50:D50,1,MAX(1,MATCH(B47,B50:D50,1))),(B47-INDEX(B50:D50,1,MAX(1,MATCH(B47,B50:D50,1))))/(INDEX(B50:D50,1,MIN(3,MAX(1,MATCH(B47,B50:D50,1))+1))-INDEX(B50:D50,1,MAX(1,MATCH(B47,B50:D50,1)))),0)*(INDEX(B51:D53,MAX(1,IFERROR(MATCH(MAX(0.25,MIN(1,B46)),A51:A53,1),1)),MIN(3,MAX(1,MATCH(B47,B50:D50,1))+1))-INDEX(B51:D53,MAX(1,IFERROR(MATCH(MAX(0.25,MIN(1,B46)),A51:A53,1),1)),MAX(1,MATCH(B47,B50:D50,1)))))))))</f>
        <v>No Aplica</v>
      </c>
    </row>
    <row r="47" spans="1:9">
      <c r="A47" s="4" t="s">
        <v>10</v>
      </c>
      <c r="B47" s="14">
        <f>B9</f>
        <v>3.0224105775750649</v>
      </c>
      <c r="C47" s="4"/>
      <c r="D47" s="4"/>
      <c r="E47" s="4"/>
    </row>
    <row r="50" spans="1:8">
      <c r="A50" s="3" t="s">
        <v>2</v>
      </c>
      <c r="B50" s="7">
        <v>10</v>
      </c>
      <c r="C50" s="7">
        <v>15</v>
      </c>
      <c r="D50" s="7">
        <v>20</v>
      </c>
    </row>
    <row r="51" spans="1:8">
      <c r="A51" s="7">
        <v>0.25</v>
      </c>
      <c r="B51" s="8">
        <v>-0.3</v>
      </c>
      <c r="C51" s="8">
        <v>-0.5</v>
      </c>
      <c r="D51" s="8">
        <v>-0.6</v>
      </c>
    </row>
    <row r="52" spans="1:8">
      <c r="A52" s="7">
        <v>0.5</v>
      </c>
      <c r="B52" s="8">
        <v>-0.5</v>
      </c>
      <c r="C52" s="8">
        <v>-0.5</v>
      </c>
      <c r="D52" s="8">
        <v>-0.6</v>
      </c>
    </row>
    <row r="53" spans="1:8">
      <c r="A53" s="7">
        <v>1</v>
      </c>
      <c r="B53" s="8">
        <v>-0.7</v>
      </c>
      <c r="C53" s="8">
        <v>-0.6</v>
      </c>
      <c r="D53" s="8">
        <v>-0.6</v>
      </c>
    </row>
    <row r="57" spans="1:8">
      <c r="A57" s="13" t="s">
        <v>61</v>
      </c>
    </row>
    <row r="59" spans="1:8">
      <c r="A59" s="3" t="s">
        <v>6</v>
      </c>
      <c r="B59" s="3" t="s">
        <v>7</v>
      </c>
      <c r="C59" s="3"/>
      <c r="F59" s="19" t="s">
        <v>29</v>
      </c>
    </row>
    <row r="60" spans="1:8">
      <c r="A60" s="3" t="s">
        <v>14</v>
      </c>
      <c r="B60" s="14">
        <f>B8</f>
        <v>8.19</v>
      </c>
      <c r="C60" s="5"/>
      <c r="F60" s="19" t="s">
        <v>30</v>
      </c>
      <c r="G60" s="26">
        <f>('Resumen Cp'!B6*'Resumen Cp'!B7/2)/COS(RADIANS(B9))*'Resumen Cp'!B8</f>
        <v>4180.8155656043955</v>
      </c>
      <c r="H60" s="66" t="s">
        <v>99</v>
      </c>
    </row>
    <row r="61" spans="1:8">
      <c r="A61" s="3" t="s">
        <v>15</v>
      </c>
      <c r="B61" s="14">
        <f>B6</f>
        <v>83.5</v>
      </c>
      <c r="C61" s="5"/>
      <c r="F61" s="19" t="s">
        <v>31</v>
      </c>
      <c r="G61" s="20">
        <f>IF(G60&lt;=9.3, 1, IF(G60&gt;=92.9, 0.8, IF(G60&lt;=23.2, 1+(G60-9.3)*(0.9-1)/(23.2-9.3), 0.9+(G60-23.2)*(0.8-0.9)/(92.9-23.2))))</f>
        <v>0.8</v>
      </c>
    </row>
    <row r="62" spans="1:8">
      <c r="A62" s="3" t="s">
        <v>2</v>
      </c>
      <c r="B62" s="15">
        <f>B60/B61</f>
        <v>9.808383233532933E-2</v>
      </c>
      <c r="C62" s="4"/>
    </row>
    <row r="64" spans="1:8" ht="27.75">
      <c r="A64" s="3" t="s">
        <v>16</v>
      </c>
      <c r="B64" s="3" t="s">
        <v>17</v>
      </c>
      <c r="C64" s="3" t="s">
        <v>18</v>
      </c>
      <c r="D64" s="7" t="s">
        <v>19</v>
      </c>
      <c r="E64" s="7" t="s">
        <v>20</v>
      </c>
    </row>
    <row r="65" spans="1:5">
      <c r="A65" s="3" t="s">
        <v>21</v>
      </c>
      <c r="B65" s="6">
        <v>0</v>
      </c>
      <c r="C65" s="6">
        <f>MIN(B60/2, B61)</f>
        <v>4.0949999999999998</v>
      </c>
      <c r="D65" s="21">
        <f>IF(B62&lt;=0.5, -0.9, IF(B62&gt;=1, -1.3*$G$61, -0.9+(B62-0.5)*(-1.3*$G$61-(-0.9))/(1-0.5)))</f>
        <v>-0.9</v>
      </c>
      <c r="E65" s="11">
        <v>-0.18</v>
      </c>
    </row>
    <row r="66" spans="1:5">
      <c r="A66" s="3" t="s">
        <v>22</v>
      </c>
      <c r="B66" s="6">
        <f>MIN(B60/2, B61)</f>
        <v>4.0949999999999998</v>
      </c>
      <c r="C66" s="6">
        <f>MIN(B59, B60)</f>
        <v>8.19</v>
      </c>
      <c r="D66" s="10">
        <f>IF(B62&lt;=0.5, -0.9, IF(B62&gt;=1, -0.7, -0.9+(B62-0.5)*(-0.7-(-0.9))/(1-0.5)))</f>
        <v>-0.9</v>
      </c>
      <c r="E66" s="11">
        <v>-0.18</v>
      </c>
    </row>
    <row r="67" spans="1:5">
      <c r="A67" s="3" t="s">
        <v>23</v>
      </c>
      <c r="B67" s="6">
        <f>MIN(B59, B60)</f>
        <v>8.19</v>
      </c>
      <c r="C67" s="6">
        <f>MIN(B60*2, B61)</f>
        <v>16.38</v>
      </c>
      <c r="D67" s="10">
        <f>IF(B62&lt;=0.5, -0.5, IF(B62&gt;=1, -0.7, -0.5+(B62-0.5)*(-0.7-(-0.5))/(1-0.5)))</f>
        <v>-0.5</v>
      </c>
      <c r="E67" s="11">
        <v>-0.18</v>
      </c>
    </row>
    <row r="68" spans="1:5">
      <c r="A68" s="3" t="s">
        <v>24</v>
      </c>
      <c r="B68" s="6">
        <f>MIN(B60*2, B61)</f>
        <v>16.38</v>
      </c>
      <c r="C68" s="6">
        <f>B61</f>
        <v>83.5</v>
      </c>
      <c r="D68" s="10">
        <f>IF(B62&lt;=0.5, -0.3, IF(B62&gt;=1, -0.7, -0.3+(B62-0.5)*(-0.7-(-0.3))/(1-0.5)))</f>
        <v>-0.3</v>
      </c>
      <c r="E68" s="11">
        <v>-0.18</v>
      </c>
    </row>
    <row r="72" spans="1:5" ht="15.75">
      <c r="A72" s="237" t="s">
        <v>62</v>
      </c>
      <c r="B72" s="238"/>
      <c r="C72" s="238"/>
      <c r="D72" s="238"/>
      <c r="E72" s="239"/>
    </row>
    <row r="74" spans="1:5">
      <c r="A74" s="36" t="s">
        <v>25</v>
      </c>
      <c r="B74" s="34" t="s">
        <v>39</v>
      </c>
      <c r="C74" s="39"/>
    </row>
    <row r="75" spans="1:5">
      <c r="A75" s="37" t="s">
        <v>14</v>
      </c>
      <c r="B75" s="32">
        <f>B8</f>
        <v>8.19</v>
      </c>
      <c r="C75" s="40" t="s">
        <v>34</v>
      </c>
    </row>
    <row r="76" spans="1:5">
      <c r="A76" s="37" t="s">
        <v>15</v>
      </c>
      <c r="B76" s="32">
        <f>B6</f>
        <v>83.5</v>
      </c>
      <c r="C76" s="40" t="s">
        <v>34</v>
      </c>
    </row>
    <row r="77" spans="1:5">
      <c r="A77" s="37" t="s">
        <v>2</v>
      </c>
      <c r="B77" s="33">
        <f>B17</f>
        <v>9.808383233532933E-2</v>
      </c>
      <c r="C77" s="41"/>
    </row>
    <row r="78" spans="1:5">
      <c r="A78" s="37" t="s">
        <v>10</v>
      </c>
      <c r="B78" s="32">
        <f>B9</f>
        <v>3.0224105775750649</v>
      </c>
      <c r="C78" s="40" t="s">
        <v>56</v>
      </c>
    </row>
    <row r="79" spans="1:5">
      <c r="A79" s="38" t="s">
        <v>26</v>
      </c>
      <c r="B79" s="35" t="str">
        <f>IF(B9&lt;10,"Techo Plano (θ &lt; 10°)","Techo a dos aguas (θ ≥ 10°)")</f>
        <v>Techo Plano (θ &lt; 10°)</v>
      </c>
      <c r="C79" s="42"/>
    </row>
    <row r="81" spans="1:6">
      <c r="A81" s="36" t="s">
        <v>72</v>
      </c>
      <c r="B81" s="34" t="s">
        <v>3</v>
      </c>
      <c r="C81" s="50" t="s">
        <v>74</v>
      </c>
    </row>
    <row r="82" spans="1:6">
      <c r="A82" s="47" t="s">
        <v>4</v>
      </c>
      <c r="B82" s="44">
        <f>B20</f>
        <v>0.8</v>
      </c>
      <c r="C82" s="51" t="s">
        <v>75</v>
      </c>
    </row>
    <row r="83" spans="1:6">
      <c r="A83" s="48" t="s">
        <v>5</v>
      </c>
      <c r="B83" s="45">
        <f>B21</f>
        <v>-0.36599999999999999</v>
      </c>
      <c r="C83" s="52" t="s">
        <v>76</v>
      </c>
    </row>
    <row r="84" spans="1:6">
      <c r="A84" s="49" t="s">
        <v>73</v>
      </c>
      <c r="B84" s="46">
        <f>B22</f>
        <v>-0.7</v>
      </c>
      <c r="C84" s="53" t="s">
        <v>76</v>
      </c>
    </row>
    <row r="86" spans="1:6">
      <c r="A86" s="36" t="s">
        <v>77</v>
      </c>
      <c r="B86" s="34" t="s">
        <v>78</v>
      </c>
      <c r="C86" s="50" t="s">
        <v>79</v>
      </c>
      <c r="F86" s="18"/>
    </row>
    <row r="87" spans="1:6">
      <c r="A87" s="47" t="s">
        <v>4</v>
      </c>
      <c r="B87" s="44" t="str">
        <f>B29</f>
        <v>No Aplica</v>
      </c>
      <c r="C87" s="56" t="str">
        <f>B30</f>
        <v>No Aplica</v>
      </c>
    </row>
    <row r="88" spans="1:6">
      <c r="A88" s="55" t="s">
        <v>5</v>
      </c>
      <c r="B88" s="54" t="str">
        <f>E46</f>
        <v>No Aplica</v>
      </c>
      <c r="C88" s="42"/>
    </row>
    <row r="90" spans="1:6">
      <c r="A90" s="36" t="s">
        <v>80</v>
      </c>
      <c r="B90" s="34" t="s">
        <v>17</v>
      </c>
      <c r="C90" s="34" t="s">
        <v>18</v>
      </c>
      <c r="D90" s="34" t="s">
        <v>81</v>
      </c>
      <c r="E90" s="60" t="s">
        <v>82</v>
      </c>
    </row>
    <row r="91" spans="1:6">
      <c r="A91" s="47" t="s">
        <v>21</v>
      </c>
      <c r="B91" s="57">
        <f t="shared" ref="B91:E94" si="0">B65</f>
        <v>0</v>
      </c>
      <c r="C91" s="57">
        <f t="shared" si="0"/>
        <v>4.0949999999999998</v>
      </c>
      <c r="D91" s="44">
        <f t="shared" si="0"/>
        <v>-0.9</v>
      </c>
      <c r="E91" s="61">
        <f t="shared" si="0"/>
        <v>-0.18</v>
      </c>
    </row>
    <row r="92" spans="1:6">
      <c r="A92" s="48" t="s">
        <v>22</v>
      </c>
      <c r="B92" s="58">
        <f t="shared" si="0"/>
        <v>4.0949999999999998</v>
      </c>
      <c r="C92" s="58">
        <f t="shared" si="0"/>
        <v>8.19</v>
      </c>
      <c r="D92" s="45">
        <f t="shared" si="0"/>
        <v>-0.9</v>
      </c>
      <c r="E92" s="62">
        <f t="shared" si="0"/>
        <v>-0.18</v>
      </c>
    </row>
    <row r="93" spans="1:6">
      <c r="A93" s="47" t="s">
        <v>23</v>
      </c>
      <c r="B93" s="57">
        <f t="shared" si="0"/>
        <v>8.19</v>
      </c>
      <c r="C93" s="57">
        <f t="shared" si="0"/>
        <v>16.38</v>
      </c>
      <c r="D93" s="44">
        <f t="shared" si="0"/>
        <v>-0.5</v>
      </c>
      <c r="E93" s="61">
        <f t="shared" si="0"/>
        <v>-0.18</v>
      </c>
    </row>
    <row r="94" spans="1:6">
      <c r="A94" s="55" t="s">
        <v>24</v>
      </c>
      <c r="B94" s="59">
        <f t="shared" si="0"/>
        <v>16.38</v>
      </c>
      <c r="C94" s="59">
        <f t="shared" si="0"/>
        <v>83.5</v>
      </c>
      <c r="D94" s="54">
        <f t="shared" si="0"/>
        <v>-0.3</v>
      </c>
      <c r="E94" s="63">
        <f t="shared" si="0"/>
        <v>-0.18</v>
      </c>
    </row>
    <row r="96" spans="1:6">
      <c r="A96" s="240" t="s">
        <v>83</v>
      </c>
      <c r="B96" s="240"/>
      <c r="C96" s="240"/>
      <c r="D96" s="240"/>
      <c r="E96" s="4"/>
    </row>
    <row r="97" spans="1:5">
      <c r="A97" s="13" t="s">
        <v>58</v>
      </c>
      <c r="C97" s="4"/>
      <c r="D97" s="4"/>
      <c r="E97" s="4"/>
    </row>
    <row r="98" spans="1:5">
      <c r="C98" s="4"/>
      <c r="D98" s="4"/>
      <c r="E98" s="4"/>
    </row>
    <row r="99" spans="1:5">
      <c r="A99" t="s">
        <v>1</v>
      </c>
      <c r="B99" s="23">
        <f>B7</f>
        <v>50</v>
      </c>
      <c r="C99" s="4"/>
      <c r="D99" s="4"/>
      <c r="E99" s="4"/>
    </row>
    <row r="100" spans="1:5">
      <c r="A100" t="s">
        <v>33</v>
      </c>
      <c r="B100" s="23">
        <f>B6</f>
        <v>83.5</v>
      </c>
      <c r="C100" s="4"/>
      <c r="D100" s="4"/>
      <c r="E100" s="4"/>
    </row>
    <row r="101" spans="1:5">
      <c r="A101" s="4" t="s">
        <v>2</v>
      </c>
      <c r="B101" s="23">
        <f>B8/B99</f>
        <v>0.1638</v>
      </c>
      <c r="C101" s="4"/>
      <c r="D101" s="4"/>
      <c r="E101" s="4"/>
    </row>
    <row r="102" spans="1:5">
      <c r="A102" t="s">
        <v>66</v>
      </c>
      <c r="B102" s="23">
        <f>B99/B100</f>
        <v>0.59880239520958078</v>
      </c>
      <c r="C102" s="4"/>
      <c r="D102" s="4"/>
      <c r="E102" s="4"/>
    </row>
    <row r="103" spans="1:5">
      <c r="C103" s="4"/>
      <c r="D103" s="4"/>
      <c r="E103" s="4"/>
    </row>
    <row r="104" spans="1:5">
      <c r="A104" s="25" t="s">
        <v>68</v>
      </c>
      <c r="B104" s="28">
        <v>0.8</v>
      </c>
      <c r="C104" s="27" t="s">
        <v>70</v>
      </c>
      <c r="D104" s="4"/>
      <c r="E104" s="4"/>
    </row>
    <row r="105" spans="1:5">
      <c r="A105" s="25" t="s">
        <v>11</v>
      </c>
      <c r="B105" s="28">
        <f>IF(B102&lt;=1, -0.5, IF(B102&gt;=4, -0.2, IF(B102&lt;=2, -0.5+(B102-1)*(-0.3-(-0.5))/(2-1), -0.3+(B102-2)*(-0.2-(-0.3))/(4-2))))</f>
        <v>-0.5</v>
      </c>
      <c r="C105" s="27" t="s">
        <v>71</v>
      </c>
      <c r="D105" s="4"/>
      <c r="E105" s="4"/>
    </row>
    <row r="106" spans="1:5">
      <c r="A106" s="25" t="s">
        <v>69</v>
      </c>
      <c r="B106" s="28">
        <v>-0.7</v>
      </c>
      <c r="C106" s="27" t="s">
        <v>71</v>
      </c>
      <c r="D106" s="4"/>
      <c r="E106" s="4"/>
    </row>
    <row r="107" spans="1:5">
      <c r="C107" s="4"/>
      <c r="D107" s="4"/>
      <c r="E107" s="4"/>
    </row>
    <row r="109" spans="1:5">
      <c r="A109" s="13" t="s">
        <v>59</v>
      </c>
    </row>
    <row r="112" spans="1:5">
      <c r="A112" s="3" t="s">
        <v>8</v>
      </c>
      <c r="B112" s="3" t="s">
        <v>9</v>
      </c>
    </row>
    <row r="113" spans="1:9">
      <c r="A113" s="3" t="s">
        <v>27</v>
      </c>
      <c r="B113" s="12" t="str" cm="1">
        <f t="array" ref="B113">IF(B9&gt;=80,0.8,IF(B9&gt;60,0.01*B9,IF(B9&lt;10,"Techo Plano",((INDEX(B116:I116,MATCH(B9,B116:I116,1)+1)-B9)/(INDEX(B116:I116,MATCH(B9,B116:I116,1)+1)-INDEX(B116:I116,MATCH(B9,B116:I116,1)))*INDEX(B117:I119,IF(B101&lt;=0.25,1,MATCH(MIN(B101,1),A117:A119,1)),MATCH(B9,B116:I116,1))+(B9-INDEX(B116:I116,MATCH(B9,B116:I116,1)))/(INDEX(B116:I116,MATCH(B9,B116:I116,1)+1)-INDEX(B116:I116,MATCH(B9,B116:I116,1)))*INDEX(B117:I119,IF(B101&lt;=0.25,1,MATCH(MIN(B101,1),A117:A119,1)),MATCH(B9,B116:I116,1)+1))*(IF(B101&gt;=1,1,INDEX(A117:A119,IF(B101&lt;=0.25,1,MATCH(MIN(B101,1),A117:A119,1))+1))-IF(B101&lt;=0.25,0.25,MIN(B101,1)))/(IF(B101&gt;=1,1,INDEX(A117:A119,IF(B101&lt;=0.25,1,MATCH(MIN(B101,1),A117:A119,1))+1))-IF(B101&lt;=0.25,0.25,INDEX(A117:A119,MATCH(MIN(B101,1),A117:A119,1))))+((INDEX(B116:I116,MATCH(B9,B116:I116,1)+1)-B9)/(INDEX(B116:I116,MATCH(B9,B116:I116,1)+1)-INDEX(B116:I116,MATCH(B9,B116:I116,1)))*INDEX(B117:I119,IF(B101&gt;=1,3,IF(B101&lt;=0.25,1,MATCH(MIN(B101,1),A117:A119,1))+1),MATCH(B9,B116:I116,1))+(B9-INDEX(B116:I116,MATCH(B9,B116:I116,1)))/(INDEX(B116:I116,MATCH(B9,B116:I116,1)+1)-INDEX(B116:I116,MATCH(B9,B116:I116,1)))*INDEX(B117:I119,IF(B101&gt;=1,3,IF(B101&lt;=0.25,1,MATCH(MIN(B101,1),A117:A119,1))+1),MATCH(B9,B116:I116,1)+1))*(IF(B101&lt;=0.25,0.25,MIN(B101,1))-IF(B101&lt;=0.25,0.25,INDEX(A117:A119,MATCH(MIN(B101,1),A117:A119,1))))/(IF(B101&gt;=1,1,INDEX(A117:A119,IF(B101&lt;=0.25,1,MATCH(MIN(B101,1),A117:A119,1))+1))-IF(B101&lt;=0.25,0.25,INDEX(A117:A119,MATCH(MIN(B101,1),A117:A119,1)))))))</f>
        <v>Techo Plano</v>
      </c>
    </row>
    <row r="114" spans="1:9">
      <c r="A114" s="3" t="s">
        <v>28</v>
      </c>
      <c r="B114" s="12" t="str" cm="1">
        <f t="array" ref="B114">IF(B9&gt;=80,0.8,IF(B9&gt;60,0.01*B9,IF(B9&lt;10,"Techo Plano",((INDEX(B121:I121,MATCH(B9,B121:I121,1)+1)-B9)/(INDEX(B121:I121,MATCH(B9,B121:I121,1)+1)-INDEX(B121:I121,MATCH(B9,B121:I121,1)))*INDEX(B122:I124,IF(B101&lt;=0.25,1,MATCH(MIN(B101,1),A122:A124,1)),MATCH(B9,B121:I121,1))+(B9-INDEX(B121:I121,MATCH(B9,B121:I121,1)))/(INDEX(B121:I121,MATCH(B9,B121:I121,1)+1)-INDEX(B121:I121,MATCH(B9,B121:I121,1)))*INDEX(B122:I124,IF(B101&lt;=0.25,1,MATCH(MIN(B101,1),A122:A124,1)),MATCH(B9,B121:I121,1)+1))*(IF(B101&gt;=1,1,INDEX(A122:A124,IF(B101&lt;=0.25,1,MATCH(MIN(B101,1),A122:A124,1))+1))-IF(B101&lt;=0.25,0.25,MIN(B101,1)))/(IF(B101&gt;=1,1,INDEX(A122:A124,IF(B101&lt;=0.25,1,MATCH(MIN(B101,1),A122:A124,1))+1))-IF(B101&lt;=0.25,0.25,INDEX(A122:A124,MATCH(MIN(B101,1),A122:A124,1))))+((INDEX(B121:I121,MATCH(B9,B121:I121,1)+1)-B9)/(INDEX(B121:I121,MATCH(B9,B121:I121,1)+1)-INDEX(B121:I121,MATCH(B9,B121:I121,1)))*INDEX(B122:I124,IF(B101&gt;=1,3,IF(B101&lt;=0.25,1,MATCH(MIN(B101,1),A122:A124,1))+1),MATCH(B9,B121:I121,1))+(B9-INDEX(B121:I121,MATCH(B9,B121:I121,1)))/(INDEX(B121:I121,MATCH(B9,B121:I121,1)+1)-INDEX(B121:I121,MATCH(B9,B121:I121,1)))*INDEX(B122:I124,IF(B101&gt;=1,3,IF(B101&lt;=0.25,1,MATCH(MIN(B101,1),A122:A124,1))+1),MATCH(B9,B121:I121,1)+1))*(IF(B101&lt;=0.25,0.25,MIN(B101,1))-IF(B101&lt;=0.25,0.25,INDEX(A122:A124,MATCH(MIN(B101,1),A122:A124,1))))/(IF(B101&gt;=1,1,INDEX(A122:A124,IF(B101&lt;=0.25,1,MATCH(MIN(B101,1),A122:A124,1))+1))-IF(B101&lt;=0.25,0.25,INDEX(A122:A124,MATCH(MIN(B101,1),A122:A124,1)))))))</f>
        <v>Techo Plano</v>
      </c>
    </row>
    <row r="116" spans="1:9">
      <c r="A116" s="3" t="s">
        <v>2</v>
      </c>
      <c r="B116" s="3">
        <v>10</v>
      </c>
      <c r="C116" s="3">
        <v>15</v>
      </c>
      <c r="D116" s="3">
        <v>20</v>
      </c>
      <c r="E116" s="3">
        <v>25</v>
      </c>
      <c r="F116" s="3">
        <v>30</v>
      </c>
      <c r="G116" s="3">
        <v>35</v>
      </c>
      <c r="H116" s="3">
        <v>45</v>
      </c>
      <c r="I116" s="3"/>
    </row>
    <row r="117" spans="1:9">
      <c r="A117" s="3">
        <v>0.25</v>
      </c>
      <c r="B117" s="4">
        <v>-0.7</v>
      </c>
      <c r="C117" s="4">
        <v>-0.5</v>
      </c>
      <c r="D117" s="4">
        <v>-0.3</v>
      </c>
      <c r="E117" s="4">
        <v>-0.2</v>
      </c>
      <c r="F117" s="4">
        <v>-0.2</v>
      </c>
      <c r="G117" s="4">
        <v>0</v>
      </c>
      <c r="H117" s="4">
        <v>0</v>
      </c>
      <c r="I117" s="4">
        <v>0.6</v>
      </c>
    </row>
    <row r="118" spans="1:9">
      <c r="A118" s="3">
        <v>0.5</v>
      </c>
      <c r="B118" s="4">
        <v>-0.9</v>
      </c>
      <c r="C118" s="4">
        <v>-0.7</v>
      </c>
      <c r="D118" s="4">
        <v>-0.4</v>
      </c>
      <c r="E118" s="4">
        <v>-0.3</v>
      </c>
      <c r="F118" s="4">
        <v>-0.2</v>
      </c>
      <c r="G118" s="4">
        <v>-0.2</v>
      </c>
      <c r="H118" s="4">
        <v>0</v>
      </c>
      <c r="I118" s="4">
        <v>0.6</v>
      </c>
    </row>
    <row r="119" spans="1:9">
      <c r="A119" s="3">
        <v>1</v>
      </c>
      <c r="B119" s="4">
        <v>-1.3</v>
      </c>
      <c r="C119" s="4">
        <v>-1</v>
      </c>
      <c r="D119" s="4">
        <v>-0.7</v>
      </c>
      <c r="E119" s="4">
        <v>-0.5</v>
      </c>
      <c r="F119" s="4">
        <v>-0.3</v>
      </c>
      <c r="G119" s="4">
        <v>-0.2</v>
      </c>
      <c r="H119" s="4">
        <v>0</v>
      </c>
      <c r="I119" s="4">
        <v>0.6</v>
      </c>
    </row>
    <row r="120" spans="1:9">
      <c r="A120" s="4"/>
      <c r="B120" s="4"/>
      <c r="C120" s="4"/>
      <c r="D120" s="4"/>
      <c r="E120" s="4"/>
      <c r="F120" s="4"/>
      <c r="G120" s="4"/>
      <c r="H120" s="4"/>
      <c r="I120" s="4"/>
    </row>
    <row r="121" spans="1:9">
      <c r="A121" s="3" t="s">
        <v>2</v>
      </c>
      <c r="B121" s="3">
        <v>10</v>
      </c>
      <c r="C121" s="3">
        <v>15</v>
      </c>
      <c r="D121" s="3">
        <v>20</v>
      </c>
      <c r="E121" s="3">
        <v>25</v>
      </c>
      <c r="F121" s="3">
        <v>30</v>
      </c>
      <c r="G121" s="3">
        <v>35</v>
      </c>
      <c r="H121" s="3">
        <v>45</v>
      </c>
      <c r="I121" s="3">
        <v>60</v>
      </c>
    </row>
    <row r="122" spans="1:9">
      <c r="A122" s="3">
        <v>0.25</v>
      </c>
      <c r="B122" s="4">
        <v>-0.18</v>
      </c>
      <c r="C122" s="4">
        <v>0</v>
      </c>
      <c r="D122" s="4">
        <v>0.2</v>
      </c>
      <c r="E122" s="4">
        <v>0.3</v>
      </c>
      <c r="F122" s="4">
        <v>0.3</v>
      </c>
      <c r="G122" s="4">
        <v>0.4</v>
      </c>
      <c r="H122" s="4">
        <v>0.4</v>
      </c>
      <c r="I122" s="4">
        <v>0.6</v>
      </c>
    </row>
    <row r="123" spans="1:9">
      <c r="A123" s="3">
        <v>0.5</v>
      </c>
      <c r="B123" s="4">
        <v>-0.18</v>
      </c>
      <c r="C123" s="4">
        <v>-0.18</v>
      </c>
      <c r="D123" s="4">
        <v>0</v>
      </c>
      <c r="E123" s="4">
        <v>0.2</v>
      </c>
      <c r="F123" s="4">
        <v>0.2</v>
      </c>
      <c r="G123" s="4">
        <v>0.3</v>
      </c>
      <c r="H123" s="4">
        <v>0.4</v>
      </c>
      <c r="I123" s="4">
        <v>0.6</v>
      </c>
    </row>
    <row r="124" spans="1:9">
      <c r="A124" s="3">
        <v>1</v>
      </c>
      <c r="B124" s="4">
        <v>-0.18</v>
      </c>
      <c r="C124" s="4">
        <v>-0.18</v>
      </c>
      <c r="D124" s="4">
        <v>-0.18</v>
      </c>
      <c r="E124" s="4">
        <v>0</v>
      </c>
      <c r="F124" s="4">
        <v>0.2</v>
      </c>
      <c r="G124" s="4">
        <v>0.2</v>
      </c>
      <c r="H124" s="4">
        <v>0.3</v>
      </c>
      <c r="I124" s="4">
        <v>0.6</v>
      </c>
    </row>
    <row r="125" spans="1:9">
      <c r="A125" s="4"/>
      <c r="B125" s="4"/>
      <c r="C125" s="4"/>
      <c r="D125" s="4"/>
      <c r="E125" s="4"/>
      <c r="F125" s="4"/>
      <c r="G125" s="4"/>
      <c r="H125" s="4"/>
      <c r="I125" s="4"/>
    </row>
    <row r="126" spans="1:9">
      <c r="A126" s="4"/>
      <c r="B126" s="4"/>
      <c r="C126" s="4"/>
      <c r="D126" s="4"/>
      <c r="E126" s="4"/>
      <c r="F126" s="4"/>
      <c r="G126" s="4"/>
      <c r="H126" s="4"/>
      <c r="I126" s="4"/>
    </row>
    <row r="127" spans="1:9">
      <c r="A127" s="13" t="s">
        <v>60</v>
      </c>
      <c r="B127" s="4"/>
      <c r="C127" s="4"/>
      <c r="D127" s="4"/>
      <c r="E127" s="4"/>
      <c r="F127" s="4"/>
      <c r="G127" s="4"/>
      <c r="H127" s="4"/>
      <c r="I127" s="4"/>
    </row>
    <row r="128" spans="1:9">
      <c r="A128" s="4"/>
      <c r="B128" s="4"/>
      <c r="C128" s="4"/>
      <c r="D128" s="4"/>
      <c r="E128" s="4"/>
      <c r="F128" s="4"/>
      <c r="G128" s="4"/>
      <c r="H128" s="4"/>
      <c r="I128" s="4"/>
    </row>
    <row r="129" spans="1:9">
      <c r="A129" s="3" t="s">
        <v>6</v>
      </c>
      <c r="B129" s="3" t="s">
        <v>7</v>
      </c>
      <c r="C129" s="3"/>
      <c r="D129" s="3" t="s">
        <v>12</v>
      </c>
      <c r="E129" s="3" t="s">
        <v>9</v>
      </c>
      <c r="F129" s="4"/>
      <c r="G129" s="4"/>
      <c r="H129" s="4"/>
      <c r="I129" s="4"/>
    </row>
    <row r="130" spans="1:9">
      <c r="A130" s="4" t="s">
        <v>2</v>
      </c>
      <c r="B130" s="14">
        <f>B101</f>
        <v>0.1638</v>
      </c>
      <c r="C130" s="4"/>
      <c r="D130" s="9" t="s">
        <v>13</v>
      </c>
      <c r="E130" s="17" t="str" cm="1">
        <f t="array" ref="E130">IF(B9&lt;10,"Techo Plano",((INDEX(B135:D137,MAX(1,IFERROR(MATCH(MAX(0.25,MIN(1,B130)),A135:A137,1),1)),MAX(1,MATCH(B131,B134:D134,1)))+IF(INDEX(B134:D134,1,MIN(3,MAX(1,MATCH(B131,B134:D134,1))+1))&lt;&gt;INDEX(B134:D134,1,MAX(1,MATCH(B131,B134:D134,1))),(B131-INDEX(B134:D134,1,MAX(1,MATCH(B131,B134:D134,1))))/(INDEX(B134:D134,1,MIN(3,MAX(1,MATCH(B131,B134:D134,1))+1))-INDEX(B134:D134,1,MAX(1,MATCH(B131,B134:D134,1)))),0)*(INDEX(B135:D137,MAX(1,IFERROR(MATCH(MAX(0.25,MIN(1,B130)),A135:A137,1),1)),MIN(3,MAX(1,MATCH(B131,B134:D134,1))+1))-INDEX(B135:D137,MAX(1,IFERROR(MATCH(MAX(0.25,MIN(1,B130)),A135:A137,1),1)),MAX(1,MATCH(B131,B134:D134,1)))))+IF(INDEX(A135:A137,MIN(3,MAX(1,IFERROR(MATCH(MAX(0.25,MIN(1,B130)),A135:A137,1),1))+1))&lt;&gt;INDEX(A135:A137,MAX(1,IFERROR(MATCH(MAX(0.25,MIN(1,B130)),A135:A137,1),1))),(MAX(0.25,MIN(1,B130))-INDEX(A135:A137,MAX(1,IFERROR(MATCH(MAX(0.25,MIN(1,B130)),A135:A137,1),1))))/(INDEX(A135:A137,MIN(3,MAX(1,IFERROR(MATCH(MAX(0.25,MIN(1,B130)),A135:A137,1),1))+1))-INDEX(A135:A137,MAX(1,IFERROR(MATCH(MAX(0.25,MIN(1,B130)),A135:A137,1),1)))),0)*((INDEX(B135:D137,MIN(3,MAX(1,IFERROR(MATCH(MAX(0.25,MIN(1,B130)),A135:A137,1),1))+1),MAX(1,MATCH(B131,B134:D134,1)))+IF(INDEX(B134:D134,1,MIN(3,MAX(1,MATCH(B131,B134:D134,1))+1))&lt;&gt;INDEX(B134:D134,1,MAX(1,MATCH(B131,B134:D134,1))),(B131-INDEX(B134:D134,1,MAX(1,MATCH(B131,B134:D134,1))))/(INDEX(B134:D134,1,MIN(3,MAX(1,MATCH(B131,B134:D134,1))+1))-INDEX(B134:D134,1,MAX(1,MATCH(B131,B134:D134,1)))),0)*(INDEX(B135:D137,MIN(3,MAX(1,IFERROR(MATCH(MAX(0.25,MIN(1,B130)),A135:A137,1),1))+1),MIN(3,MAX(1,MATCH(B131,B134:D134,1))+1))-INDEX(B135:D137,MIN(3,MAX(1,IFERROR(MATCH(MAX(0.25,MIN(1,B130)),A135:A137,1),1))+1),MAX(1,MATCH(B131,B134:D134,1)))))-(INDEX(B135:D137,MAX(1,IFERROR(MATCH(MAX(0.25,MIN(1,B130)),A135:A137,1),1)),MAX(1,MATCH(B131,B134:D134,1)))+IF(INDEX(B134:D134,1,MIN(3,MAX(1,MATCH(B131,B134:D134,1))+1))&lt;&gt;INDEX(B134:D134,1,MAX(1,MATCH(B131,B134:D134,1))),(B131-INDEX(B134:D134,1,MAX(1,MATCH(B131,B134:D134,1))))/(INDEX(B134:D134,1,MIN(3,MAX(1,MATCH(B131,B134:D134,1))+1))-INDEX(B134:D134,1,MAX(1,MATCH(B131,B134:D134,1)))),0)*(INDEX(B135:D137,MAX(1,IFERROR(MATCH(MAX(0.25,MIN(1,B130)),A135:A137,1),1)),MIN(3,MAX(1,MATCH(B131,B134:D134,1))+1))-INDEX(B135:D137,MAX(1,IFERROR(MATCH(MAX(0.25,MIN(1,B130)),A135:A137,1),1)),MAX(1,MATCH(B131,B134:D134,1))))))))</f>
        <v>Techo Plano</v>
      </c>
    </row>
    <row r="131" spans="1:9">
      <c r="A131" s="4" t="s">
        <v>10</v>
      </c>
      <c r="B131" s="14">
        <f>B9</f>
        <v>3.0224105775750649</v>
      </c>
      <c r="C131" s="4"/>
      <c r="D131" s="4"/>
      <c r="E131" s="4"/>
    </row>
    <row r="134" spans="1:9">
      <c r="A134" s="3" t="s">
        <v>2</v>
      </c>
      <c r="B134" s="7">
        <v>10</v>
      </c>
      <c r="C134" s="7">
        <v>15</v>
      </c>
      <c r="D134" s="7">
        <v>20</v>
      </c>
    </row>
    <row r="135" spans="1:9">
      <c r="A135" s="7">
        <v>0.25</v>
      </c>
      <c r="B135" s="8">
        <v>-0.3</v>
      </c>
      <c r="C135" s="8">
        <v>-0.5</v>
      </c>
      <c r="D135" s="8">
        <v>-0.6</v>
      </c>
    </row>
    <row r="136" spans="1:9">
      <c r="A136" s="7">
        <v>0.5</v>
      </c>
      <c r="B136" s="8">
        <v>-0.5</v>
      </c>
      <c r="C136" s="8">
        <v>-0.5</v>
      </c>
      <c r="D136" s="8">
        <v>-0.6</v>
      </c>
    </row>
    <row r="137" spans="1:9">
      <c r="A137" s="7">
        <v>1</v>
      </c>
      <c r="B137" s="8">
        <v>-0.7</v>
      </c>
      <c r="C137" s="8">
        <v>-0.6</v>
      </c>
      <c r="D137" s="8">
        <v>-0.6</v>
      </c>
    </row>
    <row r="141" spans="1:9">
      <c r="A141" s="13" t="s">
        <v>61</v>
      </c>
    </row>
    <row r="143" spans="1:9">
      <c r="A143" s="3" t="s">
        <v>6</v>
      </c>
      <c r="B143" s="3" t="s">
        <v>7</v>
      </c>
      <c r="C143" s="3"/>
      <c r="F143" s="19" t="s">
        <v>29</v>
      </c>
    </row>
    <row r="144" spans="1:9">
      <c r="A144" s="3" t="s">
        <v>14</v>
      </c>
      <c r="B144" s="14">
        <f>B8</f>
        <v>8.19</v>
      </c>
      <c r="C144" s="5"/>
      <c r="F144" s="19" t="s">
        <v>30</v>
      </c>
      <c r="G144" s="26">
        <f>(B100*B99/'Resumen Cp'!B8)/COS(RADIANS(B9))</f>
        <v>2090.4077828021977</v>
      </c>
      <c r="H144" s="66" t="s">
        <v>99</v>
      </c>
    </row>
    <row r="145" spans="1:7">
      <c r="A145" s="3" t="s">
        <v>15</v>
      </c>
      <c r="B145" s="14">
        <f>B99</f>
        <v>50</v>
      </c>
      <c r="C145" s="5"/>
      <c r="F145" s="19" t="s">
        <v>31</v>
      </c>
      <c r="G145" s="20">
        <f>IF(G144&lt;=9.3, 1, IF(G144&gt;=92.9, 0.8, IF(G144&lt;=23.2, 1+(G144-9.3)*(0.9-1)/(23.2-9.3), 0.9+(G144-23.2)*(0.8-0.9)/(92.9-23.2))))</f>
        <v>0.8</v>
      </c>
    </row>
    <row r="146" spans="1:7">
      <c r="A146" s="3" t="s">
        <v>2</v>
      </c>
      <c r="B146" s="15">
        <f>B144/B145</f>
        <v>0.1638</v>
      </c>
      <c r="C146" s="4"/>
    </row>
    <row r="148" spans="1:7" ht="27.75">
      <c r="A148" s="3" t="s">
        <v>16</v>
      </c>
      <c r="B148" s="3" t="s">
        <v>17</v>
      </c>
      <c r="C148" s="3" t="s">
        <v>18</v>
      </c>
      <c r="D148" s="7" t="s">
        <v>19</v>
      </c>
      <c r="E148" s="7" t="s">
        <v>20</v>
      </c>
    </row>
    <row r="149" spans="1:7">
      <c r="A149" s="3" t="s">
        <v>21</v>
      </c>
      <c r="B149" s="6">
        <v>0</v>
      </c>
      <c r="C149" s="6">
        <f>MIN(B144/2, B145)</f>
        <v>4.0949999999999998</v>
      </c>
      <c r="D149" s="21">
        <f>IF(B146&lt;=0.5, -0.9, IF(B146&gt;=1, -1.3*$G$61, -0.9+(B146-0.5)*(-1.3*$G$61-(-0.9))/(1-0.5)))</f>
        <v>-0.9</v>
      </c>
      <c r="E149" s="11">
        <v>-0.18</v>
      </c>
    </row>
    <row r="150" spans="1:7">
      <c r="A150" s="3" t="s">
        <v>22</v>
      </c>
      <c r="B150" s="6">
        <f>MIN(B144/2, B145)</f>
        <v>4.0949999999999998</v>
      </c>
      <c r="C150" s="6">
        <f>MIN(B143, B144)</f>
        <v>8.19</v>
      </c>
      <c r="D150" s="10">
        <f>IF(B146&lt;=0.5, -0.9, IF(B146&gt;=1, -0.7, -0.9+(B146-0.5)*(-0.7-(-0.9))/(1-0.5)))</f>
        <v>-0.9</v>
      </c>
      <c r="E150" s="11">
        <v>-0.18</v>
      </c>
    </row>
    <row r="151" spans="1:7">
      <c r="A151" s="3" t="s">
        <v>23</v>
      </c>
      <c r="B151" s="6">
        <f>MIN(B143, B144)</f>
        <v>8.19</v>
      </c>
      <c r="C151" s="6">
        <f>MIN(B144*2, B145)</f>
        <v>16.38</v>
      </c>
      <c r="D151" s="10">
        <f>IF(B146&lt;=0.5, -0.5, IF(B146&gt;=1, -0.7, -0.5+(B146-0.5)*(-0.7-(-0.5))/(1-0.5)))</f>
        <v>-0.5</v>
      </c>
      <c r="E151" s="11">
        <v>-0.18</v>
      </c>
    </row>
    <row r="152" spans="1:7">
      <c r="A152" s="3" t="s">
        <v>24</v>
      </c>
      <c r="B152" s="6">
        <f>MIN(B144*2, B145)</f>
        <v>16.38</v>
      </c>
      <c r="C152" s="6">
        <f>B145</f>
        <v>50</v>
      </c>
      <c r="D152" s="10">
        <f>IF(B146&lt;=0.5, -0.3, IF(B146&gt;=1, -0.7, -0.3+(B146-0.5)*(-0.7-(-0.3))/(1-0.5)))</f>
        <v>-0.3</v>
      </c>
      <c r="E152" s="11">
        <v>-0.18</v>
      </c>
    </row>
    <row r="156" spans="1:7" ht="15.75">
      <c r="A156" s="237" t="s">
        <v>62</v>
      </c>
      <c r="B156" s="238"/>
      <c r="C156" s="238"/>
      <c r="D156" s="238"/>
      <c r="E156" s="239"/>
    </row>
    <row r="158" spans="1:7">
      <c r="A158" s="36" t="s">
        <v>25</v>
      </c>
      <c r="B158" s="34" t="s">
        <v>39</v>
      </c>
      <c r="C158" s="39"/>
    </row>
    <row r="159" spans="1:7">
      <c r="A159" s="37" t="s">
        <v>14</v>
      </c>
      <c r="B159" s="32">
        <f>B92</f>
        <v>4.0949999999999998</v>
      </c>
      <c r="C159" s="40" t="s">
        <v>34</v>
      </c>
    </row>
    <row r="160" spans="1:7">
      <c r="A160" s="37" t="s">
        <v>15</v>
      </c>
      <c r="B160" s="32" t="str">
        <f>B90</f>
        <v>Desde (m)</v>
      </c>
      <c r="C160" s="40" t="s">
        <v>34</v>
      </c>
    </row>
    <row r="161" spans="1:6">
      <c r="A161" s="37" t="s">
        <v>2</v>
      </c>
      <c r="B161" s="33">
        <f>B101</f>
        <v>0.1638</v>
      </c>
      <c r="C161" s="41"/>
    </row>
    <row r="162" spans="1:6">
      <c r="A162" s="37" t="s">
        <v>10</v>
      </c>
      <c r="B162" s="32">
        <f>B93</f>
        <v>8.19</v>
      </c>
      <c r="C162" s="40" t="s">
        <v>56</v>
      </c>
    </row>
    <row r="163" spans="1:6">
      <c r="A163" s="38" t="s">
        <v>26</v>
      </c>
      <c r="B163" s="35" t="str">
        <f>IF(B93&lt;10,"Techo Plano (θ &lt; 10°)","Techo a dos aguas (θ ≥ 10°)")</f>
        <v>Techo Plano (θ &lt; 10°)</v>
      </c>
      <c r="C163" s="42"/>
    </row>
    <row r="165" spans="1:6">
      <c r="A165" s="36" t="s">
        <v>72</v>
      </c>
      <c r="B165" s="34" t="s">
        <v>3</v>
      </c>
      <c r="C165" s="50" t="s">
        <v>74</v>
      </c>
    </row>
    <row r="166" spans="1:6">
      <c r="A166" s="47" t="s">
        <v>4</v>
      </c>
      <c r="B166" s="44">
        <f>B104</f>
        <v>0.8</v>
      </c>
      <c r="C166" s="51" t="s">
        <v>75</v>
      </c>
    </row>
    <row r="167" spans="1:6">
      <c r="A167" s="48" t="s">
        <v>5</v>
      </c>
      <c r="B167" s="45">
        <f>B105</f>
        <v>-0.5</v>
      </c>
      <c r="C167" s="52" t="s">
        <v>76</v>
      </c>
    </row>
    <row r="168" spans="1:6">
      <c r="A168" s="49" t="s">
        <v>73</v>
      </c>
      <c r="B168" s="46">
        <f>B106</f>
        <v>-0.7</v>
      </c>
      <c r="C168" s="53" t="s">
        <v>76</v>
      </c>
    </row>
    <row r="170" spans="1:6">
      <c r="A170" s="36" t="s">
        <v>77</v>
      </c>
      <c r="B170" s="34" t="s">
        <v>78</v>
      </c>
      <c r="C170" s="50" t="s">
        <v>79</v>
      </c>
      <c r="F170" s="18"/>
    </row>
    <row r="171" spans="1:6">
      <c r="A171" s="47" t="s">
        <v>4</v>
      </c>
      <c r="B171" s="44" t="str">
        <f>B113</f>
        <v>Techo Plano</v>
      </c>
      <c r="C171" s="56" t="str">
        <f>B114</f>
        <v>Techo Plano</v>
      </c>
    </row>
    <row r="172" spans="1:6">
      <c r="A172" s="55" t="s">
        <v>5</v>
      </c>
      <c r="B172" s="54" t="str">
        <f>E130</f>
        <v>Techo Plano</v>
      </c>
      <c r="C172" s="42"/>
    </row>
    <row r="174" spans="1:6">
      <c r="A174" s="36" t="s">
        <v>80</v>
      </c>
      <c r="B174" s="34" t="s">
        <v>17</v>
      </c>
      <c r="C174" s="34" t="s">
        <v>18</v>
      </c>
      <c r="D174" s="34" t="s">
        <v>81</v>
      </c>
      <c r="E174" s="60" t="s">
        <v>82</v>
      </c>
    </row>
    <row r="175" spans="1:6">
      <c r="A175" s="47" t="s">
        <v>21</v>
      </c>
      <c r="B175" s="57">
        <f t="shared" ref="B175:C178" si="1">B149</f>
        <v>0</v>
      </c>
      <c r="C175" s="57">
        <f t="shared" si="1"/>
        <v>4.0949999999999998</v>
      </c>
      <c r="D175" s="44">
        <f t="shared" ref="D175:E178" si="2">IF($B$9&gt;=10,"N/A",D149)</f>
        <v>-0.9</v>
      </c>
      <c r="E175" s="61">
        <f t="shared" si="2"/>
        <v>-0.18</v>
      </c>
    </row>
    <row r="176" spans="1:6">
      <c r="A176" s="48" t="s">
        <v>22</v>
      </c>
      <c r="B176" s="58">
        <f t="shared" si="1"/>
        <v>4.0949999999999998</v>
      </c>
      <c r="C176" s="58">
        <f t="shared" si="1"/>
        <v>8.19</v>
      </c>
      <c r="D176" s="45">
        <f t="shared" si="2"/>
        <v>-0.9</v>
      </c>
      <c r="E176" s="62">
        <f t="shared" si="2"/>
        <v>-0.18</v>
      </c>
    </row>
    <row r="177" spans="1:5">
      <c r="A177" s="47" t="s">
        <v>23</v>
      </c>
      <c r="B177" s="57">
        <f t="shared" si="1"/>
        <v>8.19</v>
      </c>
      <c r="C177" s="57">
        <f t="shared" si="1"/>
        <v>16.38</v>
      </c>
      <c r="D177" s="44">
        <f t="shared" si="2"/>
        <v>-0.5</v>
      </c>
      <c r="E177" s="61">
        <f t="shared" si="2"/>
        <v>-0.18</v>
      </c>
    </row>
    <row r="178" spans="1:5">
      <c r="A178" s="55" t="s">
        <v>24</v>
      </c>
      <c r="B178" s="59">
        <f t="shared" si="1"/>
        <v>16.38</v>
      </c>
      <c r="C178" s="59">
        <f t="shared" si="1"/>
        <v>50</v>
      </c>
      <c r="D178" s="54">
        <f t="shared" si="2"/>
        <v>-0.3</v>
      </c>
      <c r="E178" s="63">
        <f t="shared" si="2"/>
        <v>-0.18</v>
      </c>
    </row>
  </sheetData>
  <mergeCells count="4">
    <mergeCell ref="A156:E156"/>
    <mergeCell ref="A72:E72"/>
    <mergeCell ref="A12:D12"/>
    <mergeCell ref="A96:D96"/>
  </mergeCells>
  <pageMargins left="0.7" right="0.7" top="0.75" bottom="0.75" header="0.3" footer="0.3"/>
  <ignoredErrors>
    <ignoredError sqref="B8" formulaRange="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0D9D7-D918-4F18-956D-90D3A2285D00}">
  <dimension ref="A1:F31"/>
  <sheetViews>
    <sheetView zoomScaleNormal="100" workbookViewId="0">
      <selection activeCell="E7" sqref="E7"/>
    </sheetView>
  </sheetViews>
  <sheetFormatPr baseColWidth="10" defaultRowHeight="14.25"/>
  <cols>
    <col min="1" max="1" width="35.53125" customWidth="1"/>
    <col min="2" max="2" width="11.53125" customWidth="1"/>
    <col min="3" max="3" width="13.33203125" customWidth="1"/>
    <col min="5" max="5" width="13.33203125" customWidth="1"/>
  </cols>
  <sheetData>
    <row r="1" spans="1:6" ht="17.25">
      <c r="A1" s="242" t="s">
        <v>84</v>
      </c>
      <c r="B1" s="243"/>
      <c r="C1" s="243"/>
      <c r="D1" s="243"/>
      <c r="E1" s="243"/>
      <c r="F1" s="244"/>
    </row>
    <row r="3" spans="1:6">
      <c r="A3" s="119" t="s">
        <v>95</v>
      </c>
      <c r="B3" s="120" t="s">
        <v>39</v>
      </c>
      <c r="C3" s="121" t="s">
        <v>40</v>
      </c>
    </row>
    <row r="4" spans="1:6">
      <c r="A4" s="182" t="s">
        <v>35</v>
      </c>
      <c r="B4" s="183">
        <f>'Presión de Viento'!C9</f>
        <v>8.85</v>
      </c>
      <c r="C4" s="184" t="s">
        <v>34</v>
      </c>
    </row>
    <row r="5" spans="1:6">
      <c r="A5" s="182" t="s">
        <v>36</v>
      </c>
      <c r="B5" s="185">
        <f>'Presión de Viento'!C8</f>
        <v>7.53</v>
      </c>
      <c r="C5" s="184" t="s">
        <v>34</v>
      </c>
    </row>
    <row r="6" spans="1:6">
      <c r="A6" s="182" t="s">
        <v>100</v>
      </c>
      <c r="B6" s="185">
        <f>'Presión de Viento'!C6</f>
        <v>83.5</v>
      </c>
      <c r="C6" s="184" t="s">
        <v>34</v>
      </c>
    </row>
    <row r="7" spans="1:6">
      <c r="A7" s="182" t="s">
        <v>93</v>
      </c>
      <c r="B7" s="185">
        <f>'Presión de Viento'!C7</f>
        <v>50</v>
      </c>
      <c r="C7" s="184" t="s">
        <v>34</v>
      </c>
    </row>
    <row r="8" spans="1:6">
      <c r="A8" s="186" t="s">
        <v>97</v>
      </c>
      <c r="B8" s="187">
        <f>'Presión de Viento'!C10</f>
        <v>2</v>
      </c>
      <c r="C8" s="188" t="s">
        <v>98</v>
      </c>
    </row>
    <row r="9" spans="1:6">
      <c r="A9" s="122" t="s">
        <v>94</v>
      </c>
      <c r="B9" s="123">
        <f>AVERAGE(B4,B5)</f>
        <v>8.19</v>
      </c>
      <c r="C9" s="124" t="s">
        <v>34</v>
      </c>
    </row>
    <row r="10" spans="1:6">
      <c r="A10" s="122" t="s">
        <v>10</v>
      </c>
      <c r="B10" s="123">
        <f>DEGREES(ATAN((B4-B5)/(B7/2)))</f>
        <v>3.0224105775750649</v>
      </c>
      <c r="C10" s="124" t="s">
        <v>56</v>
      </c>
    </row>
    <row r="11" spans="1:6">
      <c r="A11" s="125" t="s">
        <v>26</v>
      </c>
      <c r="B11" s="241" t="str">
        <f>IF(B10&lt;10, IF(B8=1,"Techo plano - 1 agua (θ &lt; 10°)","Techo plano - 2 aguas (θ &lt; 10°)"), IF(B8=1,"Techo 1 agua (θ ≥ 10°)","Techo a dos aguas (θ ≥ 10°)"))</f>
        <v>Techo plano - 2 aguas (θ &lt; 10°)</v>
      </c>
      <c r="C11" s="241"/>
    </row>
    <row r="14" spans="1:6">
      <c r="A14" s="69" t="s">
        <v>87</v>
      </c>
      <c r="B14" s="97" t="s">
        <v>74</v>
      </c>
      <c r="C14" s="247" t="s">
        <v>85</v>
      </c>
      <c r="D14" s="248"/>
      <c r="E14" s="249" t="s">
        <v>86</v>
      </c>
      <c r="F14" s="250"/>
    </row>
    <row r="15" spans="1:6">
      <c r="A15" s="70"/>
      <c r="B15" s="98"/>
      <c r="C15" s="105" t="s">
        <v>3</v>
      </c>
      <c r="D15" s="68" t="s">
        <v>66</v>
      </c>
      <c r="E15" s="112" t="s">
        <v>3</v>
      </c>
      <c r="F15" s="71" t="s">
        <v>66</v>
      </c>
    </row>
    <row r="16" spans="1:6">
      <c r="A16" s="67" t="s">
        <v>88</v>
      </c>
      <c r="B16" s="99"/>
      <c r="C16" s="106"/>
      <c r="D16" s="72"/>
      <c r="E16" s="113"/>
      <c r="F16" s="78"/>
    </row>
    <row r="17" spans="1:6">
      <c r="A17" s="79" t="s">
        <v>4</v>
      </c>
      <c r="B17" s="100" t="s">
        <v>75</v>
      </c>
      <c r="C17" s="107">
        <f>'Cp - techos'!B82</f>
        <v>0.8</v>
      </c>
      <c r="D17" s="74">
        <f>'Cp - techos'!B18</f>
        <v>1.67</v>
      </c>
      <c r="E17" s="114">
        <f>'Cp - techos'!B166</f>
        <v>0.8</v>
      </c>
      <c r="F17" s="80">
        <f>'Cp - techos'!B102</f>
        <v>0.59880239520958078</v>
      </c>
    </row>
    <row r="18" spans="1:6">
      <c r="A18" s="81" t="s">
        <v>5</v>
      </c>
      <c r="B18" s="101" t="s">
        <v>76</v>
      </c>
      <c r="C18" s="108">
        <f>'Cp - techos'!B83</f>
        <v>-0.36599999999999999</v>
      </c>
      <c r="D18" s="76">
        <f>'Cp - techos'!B18</f>
        <v>1.67</v>
      </c>
      <c r="E18" s="115">
        <f>'Cp - techos'!B167</f>
        <v>-0.5</v>
      </c>
      <c r="F18" s="82">
        <f>'Cp - techos'!B102</f>
        <v>0.59880239520958078</v>
      </c>
    </row>
    <row r="19" spans="1:6">
      <c r="A19" s="83" t="s">
        <v>73</v>
      </c>
      <c r="B19" s="102" t="s">
        <v>76</v>
      </c>
      <c r="C19" s="109">
        <f>'Cp - techos'!B84</f>
        <v>-0.7</v>
      </c>
      <c r="D19" s="77" t="s">
        <v>89</v>
      </c>
      <c r="E19" s="116">
        <f>'Cp - techos'!B168</f>
        <v>-0.7</v>
      </c>
      <c r="F19" s="84" t="s">
        <v>89</v>
      </c>
    </row>
    <row r="20" spans="1:6">
      <c r="C20" s="64"/>
      <c r="E20" s="65"/>
    </row>
    <row r="21" spans="1:6">
      <c r="A21" s="245" t="s">
        <v>90</v>
      </c>
      <c r="B21" s="246"/>
      <c r="C21" s="247" t="s">
        <v>85</v>
      </c>
      <c r="D21" s="248"/>
      <c r="E21" s="249" t="s">
        <v>86</v>
      </c>
      <c r="F21" s="250"/>
    </row>
    <row r="22" spans="1:6">
      <c r="A22" s="79" t="s">
        <v>91</v>
      </c>
      <c r="B22" s="100" t="s">
        <v>76</v>
      </c>
      <c r="C22" s="107" t="str">
        <f>'Cp - techos'!B87</f>
        <v>No Aplica</v>
      </c>
      <c r="D22" s="85" t="s">
        <v>89</v>
      </c>
      <c r="E22" s="114" t="s">
        <v>192</v>
      </c>
      <c r="F22" s="87" t="s">
        <v>89</v>
      </c>
    </row>
    <row r="23" spans="1:6">
      <c r="A23" s="81" t="s">
        <v>92</v>
      </c>
      <c r="B23" s="101" t="s">
        <v>76</v>
      </c>
      <c r="C23" s="108" t="str">
        <f>'Cp - techos'!C87</f>
        <v>No Aplica</v>
      </c>
      <c r="D23" s="86" t="s">
        <v>89</v>
      </c>
      <c r="E23" s="115" t="s">
        <v>192</v>
      </c>
      <c r="F23" s="88" t="s">
        <v>89</v>
      </c>
    </row>
    <row r="24" spans="1:6">
      <c r="A24" s="83" t="s">
        <v>5</v>
      </c>
      <c r="B24" s="102" t="s">
        <v>76</v>
      </c>
      <c r="C24" s="109" t="str">
        <f>'Cp - techos'!B88</f>
        <v>No Aplica</v>
      </c>
      <c r="D24" s="77" t="s">
        <v>89</v>
      </c>
      <c r="E24" s="116" t="s">
        <v>192</v>
      </c>
      <c r="F24" s="84" t="s">
        <v>89</v>
      </c>
    </row>
    <row r="25" spans="1:6">
      <c r="C25" s="64"/>
      <c r="E25" s="65"/>
    </row>
    <row r="26" spans="1:6">
      <c r="A26" s="245" t="s">
        <v>96</v>
      </c>
      <c r="B26" s="246"/>
      <c r="C26" s="247" t="s">
        <v>85</v>
      </c>
      <c r="D26" s="248"/>
      <c r="E26" s="249" t="s">
        <v>86</v>
      </c>
      <c r="F26" s="250"/>
    </row>
    <row r="27" spans="1:6">
      <c r="A27" s="91" t="s">
        <v>16</v>
      </c>
      <c r="B27" s="103" t="s">
        <v>76</v>
      </c>
      <c r="C27" s="110" t="s">
        <v>81</v>
      </c>
      <c r="D27" s="89" t="s">
        <v>82</v>
      </c>
      <c r="E27" s="117" t="s">
        <v>81</v>
      </c>
      <c r="F27" s="92" t="s">
        <v>82</v>
      </c>
    </row>
    <row r="28" spans="1:6">
      <c r="A28" s="79" t="s">
        <v>21</v>
      </c>
      <c r="B28" s="100" t="s">
        <v>76</v>
      </c>
      <c r="C28" s="107">
        <f>'Cp - techos'!D91</f>
        <v>-0.9</v>
      </c>
      <c r="D28" s="73">
        <f>'Cp - techos'!E91</f>
        <v>-0.18</v>
      </c>
      <c r="E28" s="114">
        <f>'Cp - techos'!D175</f>
        <v>-0.9</v>
      </c>
      <c r="F28" s="93">
        <f>'Cp - techos'!E175</f>
        <v>-0.18</v>
      </c>
    </row>
    <row r="29" spans="1:6">
      <c r="A29" s="81" t="s">
        <v>22</v>
      </c>
      <c r="B29" s="101" t="s">
        <v>76</v>
      </c>
      <c r="C29" s="108">
        <f>'Cp - techos'!D92</f>
        <v>-0.9</v>
      </c>
      <c r="D29" s="75">
        <f>'Cp - techos'!E92</f>
        <v>-0.18</v>
      </c>
      <c r="E29" s="115">
        <f>'Cp - techos'!D176</f>
        <v>-0.9</v>
      </c>
      <c r="F29" s="94">
        <f>'Cp - techos'!E176</f>
        <v>-0.18</v>
      </c>
    </row>
    <row r="30" spans="1:6">
      <c r="A30" s="79" t="s">
        <v>23</v>
      </c>
      <c r="B30" s="100" t="s">
        <v>76</v>
      </c>
      <c r="C30" s="107">
        <f>'Cp - techos'!D93</f>
        <v>-0.5</v>
      </c>
      <c r="D30" s="73">
        <f>'Cp - techos'!E93</f>
        <v>-0.18</v>
      </c>
      <c r="E30" s="114">
        <f>'Cp - techos'!D177</f>
        <v>-0.5</v>
      </c>
      <c r="F30" s="93">
        <f>'Cp - techos'!E177</f>
        <v>-0.18</v>
      </c>
    </row>
    <row r="31" spans="1:6">
      <c r="A31" s="95" t="s">
        <v>24</v>
      </c>
      <c r="B31" s="104" t="s">
        <v>76</v>
      </c>
      <c r="C31" s="111">
        <f>'Cp - techos'!D94</f>
        <v>-0.3</v>
      </c>
      <c r="D31" s="90">
        <f>'Cp - techos'!E94</f>
        <v>-0.18</v>
      </c>
      <c r="E31" s="118">
        <f>'Cp - techos'!D178</f>
        <v>-0.3</v>
      </c>
      <c r="F31" s="96">
        <f>'Cp - techos'!E178</f>
        <v>-0.18</v>
      </c>
    </row>
  </sheetData>
  <mergeCells count="10">
    <mergeCell ref="B11:C11"/>
    <mergeCell ref="A1:F1"/>
    <mergeCell ref="A21:B21"/>
    <mergeCell ref="A26:B26"/>
    <mergeCell ref="C21:D21"/>
    <mergeCell ref="E21:F21"/>
    <mergeCell ref="C26:D26"/>
    <mergeCell ref="E26:F26"/>
    <mergeCell ref="C14:D14"/>
    <mergeCell ref="E14:F14"/>
  </mergeCells>
  <dataValidations count="1">
    <dataValidation type="list" allowBlank="1" showInputMessage="1" showErrorMessage="1" errorTitle="Valor inválido" error="Ingresa 1 o 2" promptTitle="Nº de aguas" prompt="Selecciona 1 (un agua) o 2 (dos aguas)" sqref="B8" xr:uid="{392D16E0-ECF9-45B2-BFEB-869D4DEB2495}">
      <formula1>"1,2"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F82BA-E3C8-4E98-8F54-86DF5CA2E1E4}">
  <dimension ref="A1:H30"/>
  <sheetViews>
    <sheetView zoomScale="85" zoomScaleNormal="85" workbookViewId="0">
      <selection activeCell="D14" sqref="D14"/>
    </sheetView>
  </sheetViews>
  <sheetFormatPr baseColWidth="10" defaultRowHeight="14.25"/>
  <cols>
    <col min="1" max="1" width="31.1328125" customWidth="1"/>
    <col min="2" max="2" width="11.53125" customWidth="1"/>
    <col min="4" max="4" width="16" customWidth="1"/>
    <col min="5" max="5" width="12.46484375" customWidth="1"/>
    <col min="6" max="8" width="16.86328125" customWidth="1"/>
  </cols>
  <sheetData>
    <row r="1" spans="1:8" ht="30" customHeight="1">
      <c r="A1" s="232" t="s">
        <v>104</v>
      </c>
      <c r="B1" s="232"/>
      <c r="C1" s="232"/>
      <c r="D1" s="232"/>
      <c r="E1" s="232"/>
      <c r="F1" s="232"/>
      <c r="G1" s="232"/>
      <c r="H1" s="232"/>
    </row>
    <row r="2" spans="1:8">
      <c r="A2" s="233" t="s">
        <v>105</v>
      </c>
      <c r="B2" s="233"/>
      <c r="C2" s="233"/>
      <c r="D2" s="233"/>
      <c r="E2" s="233"/>
      <c r="F2" s="233"/>
      <c r="G2" s="233"/>
      <c r="H2" s="233"/>
    </row>
    <row r="3" spans="1:8">
      <c r="A3" s="138" t="s">
        <v>123</v>
      </c>
      <c r="B3" s="138" t="s">
        <v>39</v>
      </c>
      <c r="C3" s="138" t="s">
        <v>40</v>
      </c>
      <c r="D3" s="131"/>
      <c r="E3" s="131"/>
      <c r="F3" s="131"/>
      <c r="G3" s="131"/>
      <c r="H3" s="131"/>
    </row>
    <row r="4" spans="1:8">
      <c r="A4" s="139" t="s">
        <v>124</v>
      </c>
      <c r="B4" s="163">
        <f>0.613*'Presión de Viento'!C20*(2.41*(MAX('Presión de Viento'!C9,'Presión de Viento'!C35)/'Presión de Viento'!C34)^(2/'Presión de Viento'!C33))*'Presión de Viento'!C22*'Presión de Viento'!C23*'Presión de Viento'!C18^2/9.80665</f>
        <v>51.001311280655663</v>
      </c>
      <c r="C4" s="139" t="s">
        <v>103</v>
      </c>
      <c r="D4" s="131"/>
      <c r="E4" s="131"/>
      <c r="F4" s="131"/>
      <c r="G4" s="131"/>
      <c r="H4" s="131"/>
    </row>
    <row r="5" spans="1:8">
      <c r="A5" s="139" t="s">
        <v>125</v>
      </c>
      <c r="B5" s="163">
        <f>'Presión de Viento'!C41</f>
        <v>51.001311280655663</v>
      </c>
      <c r="C5" s="139" t="s">
        <v>103</v>
      </c>
      <c r="D5" s="131"/>
      <c r="E5" s="131"/>
      <c r="F5" s="131"/>
      <c r="G5" s="131"/>
      <c r="H5" s="131"/>
    </row>
    <row r="6" spans="1:8">
      <c r="A6" s="139" t="s">
        <v>126</v>
      </c>
      <c r="B6" s="140">
        <f>B5</f>
        <v>51.001311280655663</v>
      </c>
      <c r="C6" s="139" t="s">
        <v>103</v>
      </c>
      <c r="D6" s="131"/>
      <c r="E6" s="131"/>
      <c r="F6" s="131"/>
      <c r="G6" s="131"/>
      <c r="H6" s="131"/>
    </row>
    <row r="7" spans="1:8">
      <c r="A7" s="139" t="s">
        <v>127</v>
      </c>
      <c r="B7" s="163">
        <f>'Presión de Viento'!C21</f>
        <v>0.85</v>
      </c>
      <c r="C7" s="139" t="s">
        <v>89</v>
      </c>
      <c r="D7" s="131"/>
      <c r="E7" s="131"/>
      <c r="F7" s="131"/>
      <c r="G7" s="131"/>
      <c r="H7" s="131"/>
    </row>
    <row r="8" spans="1:8">
      <c r="A8" s="139" t="s">
        <v>51</v>
      </c>
      <c r="B8" s="163">
        <f>'Presión de Viento'!C24</f>
        <v>0.85</v>
      </c>
      <c r="C8" s="139" t="s">
        <v>89</v>
      </c>
      <c r="D8" s="131"/>
      <c r="E8" s="131"/>
      <c r="F8" s="131"/>
      <c r="G8" s="131"/>
      <c r="H8" s="131"/>
    </row>
    <row r="10" spans="1:8" ht="26" customHeight="1">
      <c r="A10" s="230" t="s">
        <v>106</v>
      </c>
      <c r="B10" s="230"/>
      <c r="C10" s="230"/>
      <c r="D10" s="230"/>
      <c r="E10" s="230"/>
      <c r="F10" s="230"/>
      <c r="G10" s="230"/>
      <c r="H10" s="230"/>
    </row>
    <row r="11" spans="1:8" ht="28.5">
      <c r="A11" s="29" t="s">
        <v>87</v>
      </c>
      <c r="B11" s="29" t="s">
        <v>3</v>
      </c>
      <c r="C11" s="29" t="s">
        <v>107</v>
      </c>
      <c r="D11" s="29" t="s">
        <v>108</v>
      </c>
      <c r="E11" s="29" t="s">
        <v>109</v>
      </c>
      <c r="F11" s="132" t="s">
        <v>110</v>
      </c>
      <c r="G11" s="132" t="s">
        <v>111</v>
      </c>
      <c r="H11" s="133" t="s">
        <v>112</v>
      </c>
    </row>
    <row r="12" spans="1:8">
      <c r="A12" s="127" t="s">
        <v>113</v>
      </c>
      <c r="B12" s="134">
        <f>'Resumen Cp'!C17</f>
        <v>0.8</v>
      </c>
      <c r="C12" s="134">
        <v>0.18</v>
      </c>
      <c r="D12" s="30" t="s">
        <v>75</v>
      </c>
      <c r="E12" s="135">
        <f t="shared" ref="E12:E18" si="0">B12*$B$8</f>
        <v>0.68</v>
      </c>
      <c r="F12" s="134">
        <f>$B$4*$B$7*$B$8*B12</f>
        <v>29.478757920218978</v>
      </c>
      <c r="G12" s="134">
        <f t="shared" ref="G12:G18" si="1">$B$6*$B$7*C12</f>
        <v>7.8032006259403168</v>
      </c>
      <c r="H12" s="136">
        <f t="shared" ref="H12:H18" si="2">F12-G12</f>
        <v>21.675557294278661</v>
      </c>
    </row>
    <row r="13" spans="1:8">
      <c r="A13" s="128" t="s">
        <v>114</v>
      </c>
      <c r="B13" s="16">
        <f>'Resumen Cp'!C18</f>
        <v>-0.36599999999999999</v>
      </c>
      <c r="C13" s="16">
        <v>0.18</v>
      </c>
      <c r="D13" s="31" t="s">
        <v>76</v>
      </c>
      <c r="E13" s="137">
        <f t="shared" si="0"/>
        <v>-0.31109999999999999</v>
      </c>
      <c r="F13" s="16">
        <f t="shared" ref="F13:F18" si="3">$B$5*$B$7*$B$8*B13</f>
        <v>-13.486531748500182</v>
      </c>
      <c r="G13" s="16">
        <f t="shared" si="1"/>
        <v>7.8032006259403168</v>
      </c>
      <c r="H13" s="136">
        <f t="shared" si="2"/>
        <v>-21.289732374440497</v>
      </c>
    </row>
    <row r="14" spans="1:8">
      <c r="A14" s="127" t="s">
        <v>115</v>
      </c>
      <c r="B14" s="134">
        <f>'Resumen Cp'!C19</f>
        <v>-0.7</v>
      </c>
      <c r="C14" s="134">
        <v>0.18</v>
      </c>
      <c r="D14" s="30" t="s">
        <v>76</v>
      </c>
      <c r="E14" s="135">
        <f t="shared" si="0"/>
        <v>-0.59499999999999997</v>
      </c>
      <c r="F14" s="134">
        <f t="shared" si="3"/>
        <v>-25.793913180191602</v>
      </c>
      <c r="G14" s="134">
        <f t="shared" si="1"/>
        <v>7.8032006259403168</v>
      </c>
      <c r="H14" s="136">
        <f t="shared" si="2"/>
        <v>-33.597113806131915</v>
      </c>
    </row>
    <row r="15" spans="1:8">
      <c r="A15" s="128" t="s">
        <v>116</v>
      </c>
      <c r="B15" s="16">
        <f>'Resumen Cp'!C28</f>
        <v>-0.9</v>
      </c>
      <c r="C15" s="16">
        <v>0.18</v>
      </c>
      <c r="D15" s="31" t="s">
        <v>76</v>
      </c>
      <c r="E15" s="137">
        <f t="shared" si="0"/>
        <v>-0.76500000000000001</v>
      </c>
      <c r="F15" s="16">
        <f t="shared" si="3"/>
        <v>-33.163602660246347</v>
      </c>
      <c r="G15" s="16">
        <f t="shared" si="1"/>
        <v>7.8032006259403168</v>
      </c>
      <c r="H15" s="136">
        <f t="shared" si="2"/>
        <v>-40.966803286186661</v>
      </c>
    </row>
    <row r="16" spans="1:8">
      <c r="A16" s="127" t="s">
        <v>117</v>
      </c>
      <c r="B16" s="134">
        <f>'Resumen Cp'!C29</f>
        <v>-0.9</v>
      </c>
      <c r="C16" s="134">
        <v>0.18</v>
      </c>
      <c r="D16" s="30" t="s">
        <v>76</v>
      </c>
      <c r="E16" s="135">
        <f t="shared" si="0"/>
        <v>-0.76500000000000001</v>
      </c>
      <c r="F16" s="134">
        <f t="shared" si="3"/>
        <v>-33.163602660246347</v>
      </c>
      <c r="G16" s="134">
        <f t="shared" si="1"/>
        <v>7.8032006259403168</v>
      </c>
      <c r="H16" s="136">
        <f t="shared" si="2"/>
        <v>-40.966803286186661</v>
      </c>
    </row>
    <row r="17" spans="1:8">
      <c r="A17" s="128" t="s">
        <v>118</v>
      </c>
      <c r="B17" s="16">
        <f>'Resumen Cp'!C30</f>
        <v>-0.5</v>
      </c>
      <c r="C17" s="16">
        <v>0.18</v>
      </c>
      <c r="D17" s="31" t="s">
        <v>76</v>
      </c>
      <c r="E17" s="137">
        <f t="shared" si="0"/>
        <v>-0.42499999999999999</v>
      </c>
      <c r="F17" s="16">
        <f t="shared" si="3"/>
        <v>-18.42422370013686</v>
      </c>
      <c r="G17" s="16">
        <f t="shared" si="1"/>
        <v>7.8032006259403168</v>
      </c>
      <c r="H17" s="136">
        <f t="shared" si="2"/>
        <v>-26.227424326077177</v>
      </c>
    </row>
    <row r="18" spans="1:8">
      <c r="A18" s="127" t="s">
        <v>119</v>
      </c>
      <c r="B18" s="134">
        <f>'Resumen Cp'!C31</f>
        <v>-0.3</v>
      </c>
      <c r="C18" s="134">
        <v>0.18</v>
      </c>
      <c r="D18" s="30" t="s">
        <v>76</v>
      </c>
      <c r="E18" s="135">
        <f t="shared" si="0"/>
        <v>-0.255</v>
      </c>
      <c r="F18" s="134">
        <f t="shared" si="3"/>
        <v>-11.054534220082116</v>
      </c>
      <c r="G18" s="134">
        <f t="shared" si="1"/>
        <v>7.8032006259403168</v>
      </c>
      <c r="H18" s="136">
        <f t="shared" si="2"/>
        <v>-18.857734846022431</v>
      </c>
    </row>
    <row r="20" spans="1:8" ht="26" customHeight="1">
      <c r="A20" s="230" t="s">
        <v>120</v>
      </c>
      <c r="B20" s="230"/>
      <c r="C20" s="230"/>
      <c r="D20" s="230"/>
      <c r="E20" s="230"/>
      <c r="F20" s="230"/>
      <c r="G20" s="230"/>
      <c r="H20" s="230"/>
    </row>
    <row r="21" spans="1:8" ht="28.5">
      <c r="A21" s="29" t="s">
        <v>87</v>
      </c>
      <c r="B21" s="29" t="s">
        <v>3</v>
      </c>
      <c r="C21" s="29" t="s">
        <v>107</v>
      </c>
      <c r="D21" s="29" t="s">
        <v>108</v>
      </c>
      <c r="E21" s="29" t="s">
        <v>109</v>
      </c>
      <c r="F21" s="132" t="s">
        <v>110</v>
      </c>
      <c r="G21" s="132" t="s">
        <v>111</v>
      </c>
      <c r="H21" s="133" t="s">
        <v>112</v>
      </c>
    </row>
    <row r="22" spans="1:8">
      <c r="A22" s="127" t="s">
        <v>113</v>
      </c>
      <c r="B22" s="134">
        <f t="shared" ref="B22:B28" si="4">B12</f>
        <v>0.8</v>
      </c>
      <c r="C22" s="134">
        <v>-0.18</v>
      </c>
      <c r="D22" s="30" t="s">
        <v>75</v>
      </c>
      <c r="E22" s="135">
        <f t="shared" ref="E22:E28" si="5">B22*$B$8</f>
        <v>0.68</v>
      </c>
      <c r="F22" s="134">
        <f>$B$4*$B$7*$B$8*B22</f>
        <v>29.478757920218978</v>
      </c>
      <c r="G22" s="134">
        <f t="shared" ref="G22:G28" si="6">$B$6*$B$7*C22</f>
        <v>-7.8032006259403168</v>
      </c>
      <c r="H22" s="136">
        <f t="shared" ref="H22:H28" si="7">F22-G22</f>
        <v>37.281958546159295</v>
      </c>
    </row>
    <row r="23" spans="1:8">
      <c r="A23" s="128" t="s">
        <v>114</v>
      </c>
      <c r="B23" s="16">
        <f t="shared" si="4"/>
        <v>-0.36599999999999999</v>
      </c>
      <c r="C23" s="16">
        <v>-0.18</v>
      </c>
      <c r="D23" s="31" t="s">
        <v>76</v>
      </c>
      <c r="E23" s="137">
        <f t="shared" si="5"/>
        <v>-0.31109999999999999</v>
      </c>
      <c r="F23" s="16">
        <f t="shared" ref="F23:F28" si="8">$B$5*$B$7*$B$8*B23</f>
        <v>-13.486531748500182</v>
      </c>
      <c r="G23" s="16">
        <f t="shared" si="6"/>
        <v>-7.8032006259403168</v>
      </c>
      <c r="H23" s="136">
        <f t="shared" si="7"/>
        <v>-5.6833311225598653</v>
      </c>
    </row>
    <row r="24" spans="1:8">
      <c r="A24" s="127" t="s">
        <v>115</v>
      </c>
      <c r="B24" s="134">
        <f t="shared" si="4"/>
        <v>-0.7</v>
      </c>
      <c r="C24" s="134">
        <v>-0.18</v>
      </c>
      <c r="D24" s="30" t="s">
        <v>76</v>
      </c>
      <c r="E24" s="135">
        <f t="shared" si="5"/>
        <v>-0.59499999999999997</v>
      </c>
      <c r="F24" s="134">
        <f t="shared" si="8"/>
        <v>-25.793913180191602</v>
      </c>
      <c r="G24" s="134">
        <f t="shared" si="6"/>
        <v>-7.8032006259403168</v>
      </c>
      <c r="H24" s="136">
        <f t="shared" si="7"/>
        <v>-17.990712554251285</v>
      </c>
    </row>
    <row r="25" spans="1:8">
      <c r="A25" s="128" t="s">
        <v>116</v>
      </c>
      <c r="B25" s="16">
        <f t="shared" si="4"/>
        <v>-0.9</v>
      </c>
      <c r="C25" s="16">
        <v>-0.18</v>
      </c>
      <c r="D25" s="31" t="s">
        <v>76</v>
      </c>
      <c r="E25" s="137">
        <f t="shared" si="5"/>
        <v>-0.76500000000000001</v>
      </c>
      <c r="F25" s="16">
        <f t="shared" si="8"/>
        <v>-33.163602660246347</v>
      </c>
      <c r="G25" s="16">
        <f t="shared" si="6"/>
        <v>-7.8032006259403168</v>
      </c>
      <c r="H25" s="136">
        <f t="shared" si="7"/>
        <v>-25.360402034306031</v>
      </c>
    </row>
    <row r="26" spans="1:8">
      <c r="A26" s="127" t="s">
        <v>117</v>
      </c>
      <c r="B26" s="134">
        <f t="shared" si="4"/>
        <v>-0.9</v>
      </c>
      <c r="C26" s="134">
        <v>-0.18</v>
      </c>
      <c r="D26" s="30" t="s">
        <v>76</v>
      </c>
      <c r="E26" s="135">
        <f t="shared" si="5"/>
        <v>-0.76500000000000001</v>
      </c>
      <c r="F26" s="134">
        <f t="shared" si="8"/>
        <v>-33.163602660246347</v>
      </c>
      <c r="G26" s="134">
        <f t="shared" si="6"/>
        <v>-7.8032006259403168</v>
      </c>
      <c r="H26" s="136">
        <f t="shared" si="7"/>
        <v>-25.360402034306031</v>
      </c>
    </row>
    <row r="27" spans="1:8">
      <c r="A27" s="128" t="s">
        <v>118</v>
      </c>
      <c r="B27" s="16">
        <f t="shared" si="4"/>
        <v>-0.5</v>
      </c>
      <c r="C27" s="16">
        <v>-0.18</v>
      </c>
      <c r="D27" s="31" t="s">
        <v>76</v>
      </c>
      <c r="E27" s="137">
        <f t="shared" si="5"/>
        <v>-0.42499999999999999</v>
      </c>
      <c r="F27" s="16">
        <f t="shared" si="8"/>
        <v>-18.42422370013686</v>
      </c>
      <c r="G27" s="16">
        <f t="shared" si="6"/>
        <v>-7.8032006259403168</v>
      </c>
      <c r="H27" s="136">
        <f t="shared" si="7"/>
        <v>-10.621023074196543</v>
      </c>
    </row>
    <row r="28" spans="1:8">
      <c r="A28" s="127" t="s">
        <v>119</v>
      </c>
      <c r="B28" s="134">
        <f t="shared" si="4"/>
        <v>-0.3</v>
      </c>
      <c r="C28" s="134">
        <v>-0.18</v>
      </c>
      <c r="D28" s="30" t="s">
        <v>76</v>
      </c>
      <c r="E28" s="135">
        <f t="shared" si="5"/>
        <v>-0.255</v>
      </c>
      <c r="F28" s="134">
        <f t="shared" si="8"/>
        <v>-11.054534220082116</v>
      </c>
      <c r="G28" s="134">
        <f t="shared" si="6"/>
        <v>-7.8032006259403168</v>
      </c>
      <c r="H28" s="136">
        <f t="shared" si="7"/>
        <v>-3.2513335941417996</v>
      </c>
    </row>
    <row r="30" spans="1:8" ht="34.5" customHeight="1">
      <c r="A30" s="227" t="s">
        <v>121</v>
      </c>
      <c r="B30" s="251"/>
      <c r="C30" s="251"/>
      <c r="D30" s="251"/>
      <c r="E30" s="251"/>
      <c r="F30" s="251"/>
      <c r="G30" s="251"/>
      <c r="H30" s="251"/>
    </row>
  </sheetData>
  <mergeCells count="5">
    <mergeCell ref="A1:H1"/>
    <mergeCell ref="A2:H2"/>
    <mergeCell ref="A10:H10"/>
    <mergeCell ref="A20:H20"/>
    <mergeCell ref="A30:H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63C9-009D-47F5-961A-EC796A80F815}">
  <dimension ref="A1:H30"/>
  <sheetViews>
    <sheetView topLeftCell="A2" zoomScale="85" zoomScaleNormal="85" workbookViewId="0">
      <selection activeCell="H16" sqref="H16"/>
    </sheetView>
  </sheetViews>
  <sheetFormatPr baseColWidth="10" defaultRowHeight="14.25"/>
  <cols>
    <col min="1" max="1" width="31.1328125" customWidth="1"/>
    <col min="2" max="2" width="11.53125" customWidth="1"/>
    <col min="4" max="4" width="16" customWidth="1"/>
    <col min="5" max="5" width="12.46484375" customWidth="1"/>
    <col min="6" max="8" width="16.86328125" customWidth="1"/>
  </cols>
  <sheetData>
    <row r="1" spans="1:8" ht="30" customHeight="1">
      <c r="A1" s="232" t="s">
        <v>104</v>
      </c>
      <c r="B1" s="232"/>
      <c r="C1" s="232"/>
      <c r="D1" s="232"/>
      <c r="E1" s="232"/>
      <c r="F1" s="232"/>
      <c r="G1" s="232"/>
      <c r="H1" s="232"/>
    </row>
    <row r="2" spans="1:8">
      <c r="A2" s="233" t="s">
        <v>105</v>
      </c>
      <c r="B2" s="233"/>
      <c r="C2" s="233"/>
      <c r="D2" s="233"/>
      <c r="E2" s="233"/>
      <c r="F2" s="233"/>
      <c r="G2" s="233"/>
      <c r="H2" s="233"/>
    </row>
    <row r="3" spans="1:8">
      <c r="A3" s="138" t="s">
        <v>123</v>
      </c>
      <c r="B3" s="141" t="s">
        <v>39</v>
      </c>
      <c r="C3" s="141" t="s">
        <v>40</v>
      </c>
    </row>
    <row r="4" spans="1:8">
      <c r="A4" s="139" t="s">
        <v>124</v>
      </c>
      <c r="B4" s="142">
        <f>'SPRFV - Cara Corta'!$B$4</f>
        <v>51.001311280655663</v>
      </c>
      <c r="C4" s="143" t="s">
        <v>103</v>
      </c>
    </row>
    <row r="5" spans="1:8">
      <c r="A5" s="139" t="s">
        <v>125</v>
      </c>
      <c r="B5" s="142">
        <f>'SPRFV - Cara Corta'!$B$5</f>
        <v>51.001311280655663</v>
      </c>
      <c r="C5" s="143" t="s">
        <v>103</v>
      </c>
    </row>
    <row r="6" spans="1:8">
      <c r="A6" s="139" t="s">
        <v>126</v>
      </c>
      <c r="B6" s="142">
        <f>'SPRFV - Cara Corta'!$B$6</f>
        <v>51.001311280655663</v>
      </c>
      <c r="C6" s="143" t="s">
        <v>103</v>
      </c>
    </row>
    <row r="7" spans="1:8">
      <c r="A7" s="139" t="s">
        <v>127</v>
      </c>
      <c r="B7" s="142">
        <f>'SPRFV - Cara Corta'!$B$7</f>
        <v>0.85</v>
      </c>
      <c r="C7" s="143" t="s">
        <v>89</v>
      </c>
    </row>
    <row r="8" spans="1:8">
      <c r="A8" s="139" t="s">
        <v>51</v>
      </c>
      <c r="B8" s="142">
        <f>'SPRFV - Cara Corta'!$B$8</f>
        <v>0.85</v>
      </c>
      <c r="C8" s="143" t="s">
        <v>89</v>
      </c>
    </row>
    <row r="10" spans="1:8" ht="26" customHeight="1">
      <c r="A10" s="252" t="s">
        <v>122</v>
      </c>
      <c r="B10" s="252"/>
      <c r="C10" s="252"/>
      <c r="D10" s="252"/>
      <c r="E10" s="252"/>
      <c r="F10" s="252"/>
      <c r="G10" s="252"/>
      <c r="H10" s="252"/>
    </row>
    <row r="11" spans="1:8" ht="36" customHeight="1">
      <c r="A11" s="29" t="s">
        <v>87</v>
      </c>
      <c r="B11" s="29" t="s">
        <v>3</v>
      </c>
      <c r="C11" s="29" t="s">
        <v>107</v>
      </c>
      <c r="D11" s="29" t="s">
        <v>108</v>
      </c>
      <c r="E11" s="29" t="s">
        <v>109</v>
      </c>
      <c r="F11" s="132" t="s">
        <v>110</v>
      </c>
      <c r="G11" s="132" t="s">
        <v>111</v>
      </c>
      <c r="H11" s="133" t="s">
        <v>112</v>
      </c>
    </row>
    <row r="12" spans="1:8">
      <c r="A12" s="127" t="s">
        <v>113</v>
      </c>
      <c r="B12" s="134">
        <f>'Resumen Cp'!E17</f>
        <v>0.8</v>
      </c>
      <c r="C12" s="134">
        <v>0.18</v>
      </c>
      <c r="D12" s="30" t="s">
        <v>75</v>
      </c>
      <c r="E12" s="135">
        <f t="shared" ref="E12:E18" si="0">B12*$B$8</f>
        <v>0.68</v>
      </c>
      <c r="F12" s="134">
        <f>$B$4*$B$7*$B$8*B12</f>
        <v>29.478757920218978</v>
      </c>
      <c r="G12" s="134">
        <f t="shared" ref="G12:G18" si="1">$B$6*$B$7*C12</f>
        <v>7.8032006259403168</v>
      </c>
      <c r="H12" s="136">
        <f t="shared" ref="H12:H18" si="2">F12-G12</f>
        <v>21.675557294278661</v>
      </c>
    </row>
    <row r="13" spans="1:8">
      <c r="A13" s="128" t="s">
        <v>114</v>
      </c>
      <c r="B13" s="16">
        <f>'Resumen Cp'!E18</f>
        <v>-0.5</v>
      </c>
      <c r="C13" s="16">
        <v>0.18</v>
      </c>
      <c r="D13" s="31" t="s">
        <v>76</v>
      </c>
      <c r="E13" s="137">
        <f t="shared" si="0"/>
        <v>-0.42499999999999999</v>
      </c>
      <c r="F13" s="16">
        <f t="shared" ref="F13:F18" si="3">$B$5*$B$7*$B$8*B13</f>
        <v>-18.42422370013686</v>
      </c>
      <c r="G13" s="16">
        <f t="shared" si="1"/>
        <v>7.8032006259403168</v>
      </c>
      <c r="H13" s="136">
        <f t="shared" si="2"/>
        <v>-26.227424326077177</v>
      </c>
    </row>
    <row r="14" spans="1:8">
      <c r="A14" s="127" t="s">
        <v>115</v>
      </c>
      <c r="B14" s="134">
        <f>'Resumen Cp'!E19</f>
        <v>-0.7</v>
      </c>
      <c r="C14" s="134">
        <v>0.18</v>
      </c>
      <c r="D14" s="30" t="s">
        <v>76</v>
      </c>
      <c r="E14" s="135">
        <f t="shared" si="0"/>
        <v>-0.59499999999999997</v>
      </c>
      <c r="F14" s="134">
        <f t="shared" si="3"/>
        <v>-25.793913180191602</v>
      </c>
      <c r="G14" s="134">
        <f t="shared" si="1"/>
        <v>7.8032006259403168</v>
      </c>
      <c r="H14" s="136">
        <f t="shared" si="2"/>
        <v>-33.597113806131915</v>
      </c>
    </row>
    <row r="15" spans="1:8">
      <c r="A15" s="128" t="s">
        <v>116</v>
      </c>
      <c r="B15" s="16">
        <f>'Resumen Cp'!E28</f>
        <v>-0.9</v>
      </c>
      <c r="C15" s="16">
        <v>0.18</v>
      </c>
      <c r="D15" s="31" t="s">
        <v>76</v>
      </c>
      <c r="E15" s="137">
        <f t="shared" si="0"/>
        <v>-0.76500000000000001</v>
      </c>
      <c r="F15" s="16">
        <f t="shared" si="3"/>
        <v>-33.163602660246347</v>
      </c>
      <c r="G15" s="16">
        <f t="shared" si="1"/>
        <v>7.8032006259403168</v>
      </c>
      <c r="H15" s="136">
        <f t="shared" si="2"/>
        <v>-40.966803286186661</v>
      </c>
    </row>
    <row r="16" spans="1:8">
      <c r="A16" s="127" t="s">
        <v>117</v>
      </c>
      <c r="B16" s="134">
        <f>'Resumen Cp'!E29</f>
        <v>-0.9</v>
      </c>
      <c r="C16" s="134">
        <v>0.18</v>
      </c>
      <c r="D16" s="30" t="s">
        <v>76</v>
      </c>
      <c r="E16" s="135">
        <f t="shared" si="0"/>
        <v>-0.76500000000000001</v>
      </c>
      <c r="F16" s="134">
        <f t="shared" si="3"/>
        <v>-33.163602660246347</v>
      </c>
      <c r="G16" s="134">
        <f t="shared" si="1"/>
        <v>7.8032006259403168</v>
      </c>
      <c r="H16" s="136">
        <f t="shared" si="2"/>
        <v>-40.966803286186661</v>
      </c>
    </row>
    <row r="17" spans="1:8">
      <c r="A17" s="128" t="s">
        <v>118</v>
      </c>
      <c r="B17" s="16">
        <f>'Resumen Cp'!E30</f>
        <v>-0.5</v>
      </c>
      <c r="C17" s="16">
        <v>0.18</v>
      </c>
      <c r="D17" s="31" t="s">
        <v>76</v>
      </c>
      <c r="E17" s="137">
        <f t="shared" si="0"/>
        <v>-0.42499999999999999</v>
      </c>
      <c r="F17" s="16">
        <f t="shared" si="3"/>
        <v>-18.42422370013686</v>
      </c>
      <c r="G17" s="16">
        <f t="shared" si="1"/>
        <v>7.8032006259403168</v>
      </c>
      <c r="H17" s="136">
        <f t="shared" si="2"/>
        <v>-26.227424326077177</v>
      </c>
    </row>
    <row r="18" spans="1:8">
      <c r="A18" s="127" t="s">
        <v>119</v>
      </c>
      <c r="B18" s="134">
        <f>'Resumen Cp'!E31</f>
        <v>-0.3</v>
      </c>
      <c r="C18" s="134">
        <v>0.18</v>
      </c>
      <c r="D18" s="30" t="s">
        <v>76</v>
      </c>
      <c r="E18" s="135">
        <f t="shared" si="0"/>
        <v>-0.255</v>
      </c>
      <c r="F18" s="134">
        <f t="shared" si="3"/>
        <v>-11.054534220082116</v>
      </c>
      <c r="G18" s="134">
        <f t="shared" si="1"/>
        <v>7.8032006259403168</v>
      </c>
      <c r="H18" s="136">
        <f t="shared" si="2"/>
        <v>-18.857734846022431</v>
      </c>
    </row>
    <row r="20" spans="1:8" ht="26" customHeight="1">
      <c r="A20" s="252" t="s">
        <v>128</v>
      </c>
      <c r="B20" s="252"/>
      <c r="C20" s="252"/>
      <c r="D20" s="252"/>
      <c r="E20" s="252"/>
      <c r="F20" s="252"/>
      <c r="G20" s="252"/>
      <c r="H20" s="252"/>
    </row>
    <row r="21" spans="1:8" ht="36" customHeight="1">
      <c r="A21" s="29" t="s">
        <v>87</v>
      </c>
      <c r="B21" s="29" t="s">
        <v>3</v>
      </c>
      <c r="C21" s="29" t="s">
        <v>107</v>
      </c>
      <c r="D21" s="29" t="s">
        <v>108</v>
      </c>
      <c r="E21" s="29" t="s">
        <v>109</v>
      </c>
      <c r="F21" s="132" t="s">
        <v>110</v>
      </c>
      <c r="G21" s="132" t="s">
        <v>111</v>
      </c>
      <c r="H21" s="133" t="s">
        <v>112</v>
      </c>
    </row>
    <row r="22" spans="1:8">
      <c r="A22" s="127" t="s">
        <v>113</v>
      </c>
      <c r="B22" s="134">
        <f t="shared" ref="B22:B28" si="4">B12</f>
        <v>0.8</v>
      </c>
      <c r="C22" s="134">
        <v>-0.18</v>
      </c>
      <c r="D22" s="30" t="s">
        <v>75</v>
      </c>
      <c r="E22" s="135">
        <f t="shared" ref="E22:E28" si="5">B22*$B$8</f>
        <v>0.68</v>
      </c>
      <c r="F22" s="134">
        <f>$B$4*$B$7*$B$8*B22</f>
        <v>29.478757920218978</v>
      </c>
      <c r="G22" s="134">
        <f t="shared" ref="G22:G28" si="6">$B$6*$B$7*C22</f>
        <v>-7.8032006259403168</v>
      </c>
      <c r="H22" s="136">
        <f t="shared" ref="H22:H28" si="7">F22-G22</f>
        <v>37.281958546159295</v>
      </c>
    </row>
    <row r="23" spans="1:8">
      <c r="A23" s="128" t="s">
        <v>114</v>
      </c>
      <c r="B23" s="16">
        <f t="shared" si="4"/>
        <v>-0.5</v>
      </c>
      <c r="C23" s="16">
        <v>-0.18</v>
      </c>
      <c r="D23" s="31" t="s">
        <v>76</v>
      </c>
      <c r="E23" s="137">
        <f t="shared" si="5"/>
        <v>-0.42499999999999999</v>
      </c>
      <c r="F23" s="16">
        <f t="shared" ref="F23:F28" si="8">$B$5*$B$7*$B$8*B23</f>
        <v>-18.42422370013686</v>
      </c>
      <c r="G23" s="16">
        <f t="shared" si="6"/>
        <v>-7.8032006259403168</v>
      </c>
      <c r="H23" s="136">
        <f t="shared" si="7"/>
        <v>-10.621023074196543</v>
      </c>
    </row>
    <row r="24" spans="1:8">
      <c r="A24" s="127" t="s">
        <v>115</v>
      </c>
      <c r="B24" s="134">
        <f t="shared" si="4"/>
        <v>-0.7</v>
      </c>
      <c r="C24" s="134">
        <v>-0.18</v>
      </c>
      <c r="D24" s="30" t="s">
        <v>76</v>
      </c>
      <c r="E24" s="135">
        <f t="shared" si="5"/>
        <v>-0.59499999999999997</v>
      </c>
      <c r="F24" s="134">
        <f t="shared" si="8"/>
        <v>-25.793913180191602</v>
      </c>
      <c r="G24" s="134">
        <f t="shared" si="6"/>
        <v>-7.8032006259403168</v>
      </c>
      <c r="H24" s="136">
        <f t="shared" si="7"/>
        <v>-17.990712554251285</v>
      </c>
    </row>
    <row r="25" spans="1:8">
      <c r="A25" s="128" t="s">
        <v>116</v>
      </c>
      <c r="B25" s="16">
        <f t="shared" si="4"/>
        <v>-0.9</v>
      </c>
      <c r="C25" s="16">
        <v>-0.18</v>
      </c>
      <c r="D25" s="31" t="s">
        <v>76</v>
      </c>
      <c r="E25" s="137">
        <f t="shared" si="5"/>
        <v>-0.76500000000000001</v>
      </c>
      <c r="F25" s="16">
        <f t="shared" si="8"/>
        <v>-33.163602660246347</v>
      </c>
      <c r="G25" s="16">
        <f t="shared" si="6"/>
        <v>-7.8032006259403168</v>
      </c>
      <c r="H25" s="136">
        <f t="shared" si="7"/>
        <v>-25.360402034306031</v>
      </c>
    </row>
    <row r="26" spans="1:8">
      <c r="A26" s="127" t="s">
        <v>117</v>
      </c>
      <c r="B26" s="134">
        <f t="shared" si="4"/>
        <v>-0.9</v>
      </c>
      <c r="C26" s="134">
        <v>-0.18</v>
      </c>
      <c r="D26" s="30" t="s">
        <v>76</v>
      </c>
      <c r="E26" s="135">
        <f t="shared" si="5"/>
        <v>-0.76500000000000001</v>
      </c>
      <c r="F26" s="134">
        <f t="shared" si="8"/>
        <v>-33.163602660246347</v>
      </c>
      <c r="G26" s="134">
        <f t="shared" si="6"/>
        <v>-7.8032006259403168</v>
      </c>
      <c r="H26" s="136">
        <f t="shared" si="7"/>
        <v>-25.360402034306031</v>
      </c>
    </row>
    <row r="27" spans="1:8">
      <c r="A27" s="128" t="s">
        <v>118</v>
      </c>
      <c r="B27" s="16">
        <f t="shared" si="4"/>
        <v>-0.5</v>
      </c>
      <c r="C27" s="16">
        <v>-0.18</v>
      </c>
      <c r="D27" s="31" t="s">
        <v>76</v>
      </c>
      <c r="E27" s="137">
        <f t="shared" si="5"/>
        <v>-0.42499999999999999</v>
      </c>
      <c r="F27" s="16">
        <f t="shared" si="8"/>
        <v>-18.42422370013686</v>
      </c>
      <c r="G27" s="16">
        <f t="shared" si="6"/>
        <v>-7.8032006259403168</v>
      </c>
      <c r="H27" s="136">
        <f t="shared" si="7"/>
        <v>-10.621023074196543</v>
      </c>
    </row>
    <row r="28" spans="1:8">
      <c r="A28" s="127" t="s">
        <v>119</v>
      </c>
      <c r="B28" s="134">
        <f t="shared" si="4"/>
        <v>-0.3</v>
      </c>
      <c r="C28" s="134">
        <v>-0.18</v>
      </c>
      <c r="D28" s="30" t="s">
        <v>76</v>
      </c>
      <c r="E28" s="135">
        <f t="shared" si="5"/>
        <v>-0.255</v>
      </c>
      <c r="F28" s="134">
        <f t="shared" si="8"/>
        <v>-11.054534220082116</v>
      </c>
      <c r="G28" s="134">
        <f t="shared" si="6"/>
        <v>-7.8032006259403168</v>
      </c>
      <c r="H28" s="136">
        <f t="shared" si="7"/>
        <v>-3.2513335941417996</v>
      </c>
    </row>
    <row r="30" spans="1:8" ht="50" customHeight="1">
      <c r="A30" s="227" t="s">
        <v>121</v>
      </c>
      <c r="B30" s="251"/>
      <c r="C30" s="251"/>
      <c r="D30" s="251"/>
      <c r="E30" s="251"/>
      <c r="F30" s="251"/>
      <c r="G30" s="251"/>
      <c r="H30" s="251"/>
    </row>
  </sheetData>
  <mergeCells count="5">
    <mergeCell ref="A1:H1"/>
    <mergeCell ref="A2:H2"/>
    <mergeCell ref="A10:H10"/>
    <mergeCell ref="A20:H20"/>
    <mergeCell ref="A30:H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36BCB-5A28-4D8F-8F3A-0E944C95BC03}">
  <dimension ref="A1:I58"/>
  <sheetViews>
    <sheetView tabSelected="1" topLeftCell="A21" zoomScale="85" zoomScaleNormal="85" workbookViewId="0">
      <selection activeCell="H50" sqref="H50"/>
    </sheetView>
  </sheetViews>
  <sheetFormatPr baseColWidth="10" defaultRowHeight="14.25"/>
  <cols>
    <col min="1" max="1" width="35.53125" customWidth="1"/>
    <col min="2" max="2" width="16" bestFit="1" customWidth="1"/>
    <col min="3" max="3" width="13.33203125" customWidth="1"/>
    <col min="4" max="4" width="16" customWidth="1"/>
    <col min="5" max="5" width="15.1328125" customWidth="1"/>
    <col min="6" max="6" width="13.33203125" customWidth="1"/>
    <col min="7" max="7" width="16" customWidth="1"/>
    <col min="8" max="8" width="15.1328125" customWidth="1"/>
    <col min="9" max="9" width="13.33203125" customWidth="1"/>
  </cols>
  <sheetData>
    <row r="1" spans="1:9" ht="18">
      <c r="A1" s="228" t="s">
        <v>414</v>
      </c>
      <c r="B1" s="228"/>
      <c r="C1" s="228"/>
      <c r="D1" s="228"/>
      <c r="E1" s="228"/>
      <c r="F1" s="228"/>
      <c r="G1" s="228"/>
      <c r="H1" s="228"/>
      <c r="I1" s="228"/>
    </row>
    <row r="2" spans="1:9">
      <c r="A2" s="233" t="s">
        <v>415</v>
      </c>
      <c r="B2" s="233"/>
      <c r="C2" s="233"/>
      <c r="D2" s="233"/>
      <c r="E2" s="233"/>
      <c r="F2" s="233"/>
      <c r="G2" s="233"/>
      <c r="H2" s="233"/>
      <c r="I2" s="233"/>
    </row>
    <row r="4" spans="1:9">
      <c r="A4" s="256" t="s">
        <v>416</v>
      </c>
      <c r="B4" s="256"/>
      <c r="C4" s="256"/>
      <c r="D4" s="256"/>
      <c r="E4" s="256"/>
      <c r="F4" s="256"/>
      <c r="G4" s="256"/>
      <c r="H4" s="256"/>
      <c r="I4" s="256"/>
    </row>
    <row r="5" spans="1:9">
      <c r="A5" s="138" t="s">
        <v>37</v>
      </c>
      <c r="B5" s="138" t="s">
        <v>38</v>
      </c>
      <c r="C5" s="138" t="s">
        <v>39</v>
      </c>
      <c r="D5" s="138" t="s">
        <v>40</v>
      </c>
    </row>
    <row r="6" spans="1:9">
      <c r="A6" t="s">
        <v>417</v>
      </c>
      <c r="B6" s="144" t="s">
        <v>1</v>
      </c>
      <c r="C6" s="145">
        <v>83.5</v>
      </c>
      <c r="D6" t="s">
        <v>34</v>
      </c>
    </row>
    <row r="7" spans="1:9">
      <c r="A7" t="s">
        <v>42</v>
      </c>
      <c r="B7" s="144" t="s">
        <v>33</v>
      </c>
      <c r="C7" s="145">
        <f>'Presión de Viento'!C7</f>
        <v>50</v>
      </c>
      <c r="D7" t="s">
        <v>34</v>
      </c>
    </row>
    <row r="8" spans="1:9">
      <c r="A8" t="s">
        <v>43</v>
      </c>
      <c r="B8" s="144" t="s">
        <v>44</v>
      </c>
      <c r="C8" s="145">
        <f>'Presión de Viento'!C8</f>
        <v>7.53</v>
      </c>
      <c r="D8" t="s">
        <v>34</v>
      </c>
    </row>
    <row r="9" spans="1:9">
      <c r="A9" t="s">
        <v>45</v>
      </c>
      <c r="B9" s="144" t="s">
        <v>132</v>
      </c>
      <c r="C9" s="145">
        <f>'Presión de Viento'!C9</f>
        <v>8.85</v>
      </c>
      <c r="D9" t="s">
        <v>34</v>
      </c>
    </row>
    <row r="10" spans="1:9">
      <c r="A10" t="s">
        <v>54</v>
      </c>
      <c r="B10" s="144" t="s">
        <v>0</v>
      </c>
      <c r="C10" s="189">
        <f>'Presión de Viento'!C11</f>
        <v>8.19</v>
      </c>
      <c r="D10" t="s">
        <v>34</v>
      </c>
    </row>
    <row r="12" spans="1:9">
      <c r="A12" s="256" t="s">
        <v>418</v>
      </c>
      <c r="B12" s="256"/>
      <c r="C12" s="256"/>
      <c r="D12" s="256"/>
      <c r="E12" s="256"/>
      <c r="F12" s="256"/>
      <c r="G12" s="256"/>
      <c r="H12" s="256"/>
      <c r="I12" s="256"/>
    </row>
    <row r="13" spans="1:9">
      <c r="A13" s="138" t="s">
        <v>87</v>
      </c>
      <c r="B13" s="138" t="s">
        <v>419</v>
      </c>
      <c r="C13" s="138" t="s">
        <v>420</v>
      </c>
      <c r="D13" s="138" t="s">
        <v>421</v>
      </c>
    </row>
    <row r="14" spans="1:9">
      <c r="A14" s="190" t="s">
        <v>422</v>
      </c>
    </row>
    <row r="15" spans="1:9">
      <c r="A15" t="s">
        <v>423</v>
      </c>
      <c r="B15" t="s">
        <v>425</v>
      </c>
      <c r="C15" s="191" t="str">
        <f>C10&amp;" × "&amp;C6</f>
        <v>8,19 × 83,5</v>
      </c>
      <c r="D15" s="192">
        <f>C10*C7</f>
        <v>409.5</v>
      </c>
    </row>
    <row r="16" spans="1:9">
      <c r="A16" t="s">
        <v>115</v>
      </c>
      <c r="B16" t="s">
        <v>424</v>
      </c>
      <c r="C16" s="191" t="str">
        <f>C10&amp;" × "&amp;C7</f>
        <v>8,19 × 50</v>
      </c>
      <c r="D16" s="192">
        <f>C8*C6</f>
        <v>628.755</v>
      </c>
    </row>
    <row r="17" spans="1:9">
      <c r="A17" t="s">
        <v>116</v>
      </c>
      <c r="B17" t="s">
        <v>455</v>
      </c>
      <c r="D17" s="192">
        <f>C6*(C10/2)/COS(RADIANS('Presión de Viento'!C12))</f>
        <v>342.40879482299999</v>
      </c>
      <c r="E17">
        <f>C10/2*C6</f>
        <v>341.9325</v>
      </c>
    </row>
    <row r="18" spans="1:9">
      <c r="A18" t="s">
        <v>117</v>
      </c>
      <c r="B18" t="s">
        <v>455</v>
      </c>
      <c r="D18" s="192">
        <f>C6*(C10/2)/COS(RADIANS('Presión de Viento'!C12))</f>
        <v>342.40879482299999</v>
      </c>
      <c r="E18">
        <f>C10/2*C6</f>
        <v>341.9325</v>
      </c>
    </row>
    <row r="19" spans="1:9">
      <c r="A19" t="s">
        <v>118</v>
      </c>
      <c r="B19" t="s">
        <v>456</v>
      </c>
      <c r="D19" s="192">
        <f>C6*C10/COS(RADIANS('Presión de Viento'!C12))</f>
        <v>684.81758964599999</v>
      </c>
      <c r="E19">
        <f>C10*C6</f>
        <v>683.86500000000001</v>
      </c>
    </row>
    <row r="20" spans="1:9">
      <c r="A20" t="s">
        <v>119</v>
      </c>
      <c r="B20" t="s">
        <v>457</v>
      </c>
      <c r="D20" s="192">
        <f>C6*MAX(C7-2*C10,0)/COS(RADIANS('Presión de Viento'!C12))</f>
        <v>2811.180386312396</v>
      </c>
      <c r="E20">
        <f>C6*(C7-2*C10)</f>
        <v>2807.2700000000004</v>
      </c>
    </row>
    <row r="21" spans="1:9">
      <c r="A21" s="190" t="s">
        <v>426</v>
      </c>
    </row>
    <row r="22" spans="1:9">
      <c r="A22" t="s">
        <v>423</v>
      </c>
      <c r="B22" t="s">
        <v>424</v>
      </c>
      <c r="D22" s="192">
        <f>C8*C6</f>
        <v>628.755</v>
      </c>
    </row>
    <row r="23" spans="1:9">
      <c r="A23" t="s">
        <v>115</v>
      </c>
      <c r="B23" t="s">
        <v>425</v>
      </c>
      <c r="D23" s="192">
        <f>C10*C7</f>
        <v>409.5</v>
      </c>
    </row>
    <row r="24" spans="1:9">
      <c r="A24" t="s">
        <v>116</v>
      </c>
      <c r="B24" t="s">
        <v>458</v>
      </c>
      <c r="D24" s="192">
        <f>C7*(C10/2)/COS(RADIANS('Presión de Viento'!C12))</f>
        <v>205.03520648083833</v>
      </c>
      <c r="E24">
        <f>C10/2*C7</f>
        <v>204.75</v>
      </c>
    </row>
    <row r="25" spans="1:9">
      <c r="A25" t="s">
        <v>117</v>
      </c>
      <c r="B25" t="s">
        <v>458</v>
      </c>
      <c r="D25" s="192">
        <f>C7*(C10/2)/COS(RADIANS('Presión de Viento'!C12))</f>
        <v>205.03520648083833</v>
      </c>
      <c r="E25">
        <f>C10/2*C7</f>
        <v>204.75</v>
      </c>
    </row>
    <row r="26" spans="1:9">
      <c r="A26" t="s">
        <v>118</v>
      </c>
      <c r="B26" t="s">
        <v>459</v>
      </c>
      <c r="D26" s="192">
        <f>C7*C10/COS(RADIANS('Presión de Viento'!C12))</f>
        <v>410.07041296167665</v>
      </c>
      <c r="E26">
        <f>C10*C7</f>
        <v>409.5</v>
      </c>
    </row>
    <row r="27" spans="1:9">
      <c r="A27" t="s">
        <v>119</v>
      </c>
      <c r="B27" t="s">
        <v>460</v>
      </c>
      <c r="D27" s="192">
        <f>C7*MAX(C6-2*C10,0)/COS(RADIANS('Presión de Viento'!C12))</f>
        <v>3360.6747396810424</v>
      </c>
      <c r="E27">
        <f>C7*(C6-2*C10)</f>
        <v>3356</v>
      </c>
    </row>
    <row r="29" spans="1:9" ht="15.75">
      <c r="A29" s="257" t="s">
        <v>427</v>
      </c>
      <c r="B29" s="257"/>
      <c r="C29" s="257"/>
      <c r="D29" s="257"/>
      <c r="E29" s="257"/>
      <c r="F29" s="257"/>
      <c r="G29" s="257"/>
      <c r="H29" s="257"/>
      <c r="I29" s="257"/>
    </row>
    <row r="30" spans="1:9" ht="26.65">
      <c r="A30" s="138" t="s">
        <v>87</v>
      </c>
      <c r="B30" s="193" t="s">
        <v>428</v>
      </c>
      <c r="C30" s="193" t="s">
        <v>429</v>
      </c>
      <c r="D30" s="193" t="s">
        <v>430</v>
      </c>
      <c r="E30" s="194" t="s">
        <v>431</v>
      </c>
      <c r="F30" s="194" t="s">
        <v>432</v>
      </c>
      <c r="G30" s="193" t="s">
        <v>433</v>
      </c>
      <c r="H30" s="195" t="s">
        <v>434</v>
      </c>
      <c r="I30" s="195" t="s">
        <v>435</v>
      </c>
    </row>
    <row r="31" spans="1:9">
      <c r="A31" s="255" t="s">
        <v>422</v>
      </c>
      <c r="B31" s="255"/>
      <c r="C31" s="255"/>
      <c r="D31" s="255"/>
      <c r="E31" s="255"/>
      <c r="F31" s="255"/>
      <c r="G31" s="255"/>
      <c r="H31" s="255"/>
      <c r="I31" s="255"/>
    </row>
    <row r="32" spans="1:9">
      <c r="A32" s="164" t="s">
        <v>113</v>
      </c>
      <c r="B32" s="196" t="s">
        <v>436</v>
      </c>
      <c r="C32" s="197">
        <f>D15</f>
        <v>409.5</v>
      </c>
      <c r="D32" s="2">
        <f>'SPRFV - Cara Corta'!H12</f>
        <v>21.675557294278661</v>
      </c>
      <c r="E32" s="198">
        <f t="shared" ref="E32:E38" si="0">D32*C32</f>
        <v>8876.1407120071126</v>
      </c>
      <c r="F32" s="199">
        <f t="shared" ref="F32:F38" si="1">E32/1000</f>
        <v>8.8761407120071123</v>
      </c>
      <c r="G32" s="2">
        <f>'SPRFV - Cara Corta'!H22</f>
        <v>37.281958546159295</v>
      </c>
      <c r="H32" s="200">
        <f t="shared" ref="H32:H38" si="2">G32*C32</f>
        <v>15266.962024652232</v>
      </c>
      <c r="I32" s="201">
        <f t="shared" ref="I32:I38" si="3">H32/1000</f>
        <v>15.266962024652232</v>
      </c>
    </row>
    <row r="33" spans="1:9">
      <c r="A33" s="164" t="s">
        <v>437</v>
      </c>
      <c r="B33" s="196" t="s">
        <v>436</v>
      </c>
      <c r="C33" s="197">
        <f t="shared" ref="C33:C38" si="4">D15</f>
        <v>409.5</v>
      </c>
      <c r="D33" s="2">
        <f>-'SPRFV - Cara Corta'!H13</f>
        <v>21.289732374440497</v>
      </c>
      <c r="E33" s="198">
        <f t="shared" si="0"/>
        <v>8718.1454073333844</v>
      </c>
      <c r="F33" s="199">
        <f t="shared" si="1"/>
        <v>8.7181454073333846</v>
      </c>
      <c r="G33" s="2">
        <f>-'SPRFV - Cara Corta'!H23</f>
        <v>5.6833311225598653</v>
      </c>
      <c r="H33" s="200">
        <f t="shared" si="2"/>
        <v>2327.3240946882647</v>
      </c>
      <c r="I33" s="201">
        <f t="shared" si="3"/>
        <v>2.3273240946882647</v>
      </c>
    </row>
    <row r="34" spans="1:9">
      <c r="A34" s="164" t="s">
        <v>115</v>
      </c>
      <c r="B34" s="202" t="s">
        <v>438</v>
      </c>
      <c r="C34" s="197">
        <f t="shared" si="4"/>
        <v>628.755</v>
      </c>
      <c r="D34" s="2">
        <f>'SPRFV - Cara Corta'!H14</f>
        <v>-33.597113806131915</v>
      </c>
      <c r="E34" s="198">
        <f t="shared" si="0"/>
        <v>-21124.353291174473</v>
      </c>
      <c r="F34" s="199">
        <f t="shared" si="1"/>
        <v>-21.124353291174472</v>
      </c>
      <c r="G34" s="2">
        <f>'SPRFV - Cara Corta'!H24</f>
        <v>-17.990712554251285</v>
      </c>
      <c r="H34" s="200">
        <f t="shared" si="2"/>
        <v>-11311.750472048267</v>
      </c>
      <c r="I34" s="201">
        <f t="shared" si="3"/>
        <v>-11.311750472048267</v>
      </c>
    </row>
    <row r="35" spans="1:9">
      <c r="A35" s="164" t="s">
        <v>116</v>
      </c>
      <c r="B35" s="203" t="s">
        <v>439</v>
      </c>
      <c r="C35" s="197">
        <f t="shared" si="4"/>
        <v>342.40879482299999</v>
      </c>
      <c r="D35" s="2">
        <f>'SPRFV - Cara Corta'!H15</f>
        <v>-40.966803286186661</v>
      </c>
      <c r="E35" s="198">
        <f t="shared" si="0"/>
        <v>-14027.39374097409</v>
      </c>
      <c r="F35" s="199">
        <f t="shared" si="1"/>
        <v>-14.027393740974091</v>
      </c>
      <c r="G35" s="2">
        <f>'SPRFV - Cara Corta'!H25</f>
        <v>-25.360402034306031</v>
      </c>
      <c r="H35" s="200">
        <f t="shared" si="2"/>
        <v>-8683.6246967934858</v>
      </c>
      <c r="I35" s="201">
        <f t="shared" si="3"/>
        <v>-8.6836246967934851</v>
      </c>
    </row>
    <row r="36" spans="1:9">
      <c r="A36" s="164" t="s">
        <v>117</v>
      </c>
      <c r="B36" s="203" t="s">
        <v>439</v>
      </c>
      <c r="C36" s="197">
        <f t="shared" si="4"/>
        <v>342.40879482299999</v>
      </c>
      <c r="D36" s="2">
        <f>'SPRFV - Cara Corta'!H16</f>
        <v>-40.966803286186661</v>
      </c>
      <c r="E36" s="198">
        <f t="shared" si="0"/>
        <v>-14027.39374097409</v>
      </c>
      <c r="F36" s="199">
        <f t="shared" si="1"/>
        <v>-14.027393740974091</v>
      </c>
      <c r="G36" s="2">
        <f>'SPRFV - Cara Corta'!H26</f>
        <v>-25.360402034306031</v>
      </c>
      <c r="H36" s="200">
        <f t="shared" si="2"/>
        <v>-8683.6246967934858</v>
      </c>
      <c r="I36" s="201">
        <f t="shared" si="3"/>
        <v>-8.6836246967934851</v>
      </c>
    </row>
    <row r="37" spans="1:9">
      <c r="A37" s="164" t="s">
        <v>118</v>
      </c>
      <c r="B37" s="203" t="s">
        <v>439</v>
      </c>
      <c r="C37" s="197">
        <f t="shared" si="4"/>
        <v>684.81758964599999</v>
      </c>
      <c r="D37" s="2">
        <f>'SPRFV - Cara Corta'!H17</f>
        <v>-26.227424326077177</v>
      </c>
      <c r="E37" s="198">
        <f t="shared" si="0"/>
        <v>-17961.001509607038</v>
      </c>
      <c r="F37" s="199">
        <f t="shared" si="1"/>
        <v>-17.961001509607037</v>
      </c>
      <c r="G37" s="2">
        <f>'SPRFV - Cara Corta'!H27</f>
        <v>-10.621023074196543</v>
      </c>
      <c r="H37" s="200">
        <f t="shared" si="2"/>
        <v>-7273.4634212458259</v>
      </c>
      <c r="I37" s="201">
        <f t="shared" si="3"/>
        <v>-7.2734634212458262</v>
      </c>
    </row>
    <row r="38" spans="1:9">
      <c r="A38" s="164" t="s">
        <v>119</v>
      </c>
      <c r="B38" s="203" t="s">
        <v>439</v>
      </c>
      <c r="C38" s="197">
        <f t="shared" si="4"/>
        <v>2811.180386312396</v>
      </c>
      <c r="D38" s="2">
        <f>'SPRFV - Cara Corta'!H18</f>
        <v>-18.857734846022431</v>
      </c>
      <c r="E38" s="198">
        <f t="shared" si="0"/>
        <v>-53012.49432941807</v>
      </c>
      <c r="F38" s="199">
        <f t="shared" si="1"/>
        <v>-53.012494329418068</v>
      </c>
      <c r="G38" s="2">
        <f>'SPRFV - Cara Corta'!H28</f>
        <v>-3.2513335941417996</v>
      </c>
      <c r="H38" s="200">
        <f t="shared" si="2"/>
        <v>-9140.0852292100153</v>
      </c>
      <c r="I38" s="201">
        <f t="shared" si="3"/>
        <v>-9.1400852292100154</v>
      </c>
    </row>
    <row r="39" spans="1:9">
      <c r="A39" s="204" t="s">
        <v>440</v>
      </c>
      <c r="B39" s="205" t="s">
        <v>441</v>
      </c>
      <c r="C39" s="206"/>
      <c r="D39" s="206"/>
      <c r="E39" s="207">
        <f>E32+E33</f>
        <v>17594.286119340497</v>
      </c>
      <c r="F39" s="208">
        <f>F32+F33</f>
        <v>17.594286119340495</v>
      </c>
      <c r="G39" s="206"/>
      <c r="H39" s="207">
        <f>H32+H33</f>
        <v>17594.286119340497</v>
      </c>
      <c r="I39" s="208">
        <f>I32+I33</f>
        <v>17.594286119340495</v>
      </c>
    </row>
    <row r="40" spans="1:9">
      <c r="A40" s="209" t="s">
        <v>442</v>
      </c>
      <c r="B40" s="210" t="s">
        <v>443</v>
      </c>
      <c r="C40" s="211"/>
      <c r="D40" s="211"/>
      <c r="E40" s="212">
        <f>E35+E36+E37+E38</f>
        <v>-99028.283320973293</v>
      </c>
      <c r="F40" s="213">
        <f>F35+F36+F37+F38</f>
        <v>-99.028283320973287</v>
      </c>
      <c r="G40" s="211"/>
      <c r="H40" s="212">
        <f>H35+H36+H37+H38</f>
        <v>-33780.798044042815</v>
      </c>
      <c r="I40" s="213">
        <f>I35+I36+I37+I38</f>
        <v>-33.780798044042811</v>
      </c>
    </row>
    <row r="42" spans="1:9">
      <c r="A42" s="255" t="s">
        <v>426</v>
      </c>
      <c r="B42" s="255"/>
      <c r="C42" s="255"/>
      <c r="D42" s="255"/>
      <c r="E42" s="255"/>
      <c r="F42" s="255"/>
      <c r="G42" s="255"/>
      <c r="H42" s="255"/>
      <c r="I42" s="255"/>
    </row>
    <row r="43" spans="1:9">
      <c r="A43" s="164" t="s">
        <v>113</v>
      </c>
      <c r="B43" s="202" t="s">
        <v>444</v>
      </c>
      <c r="C43" s="197">
        <f>D22</f>
        <v>628.755</v>
      </c>
      <c r="D43" s="2">
        <f>'SPRFV - Cara Larga'!H12</f>
        <v>21.675557294278661</v>
      </c>
      <c r="E43" s="198">
        <f t="shared" ref="E43:E49" si="5">D43*C43</f>
        <v>13628.615026564179</v>
      </c>
      <c r="F43" s="199">
        <f t="shared" ref="F43:F49" si="6">E43/1000</f>
        <v>13.628615026564178</v>
      </c>
      <c r="G43" s="2">
        <f>'SPRFV - Cara Larga'!H22</f>
        <v>37.281958546159295</v>
      </c>
      <c r="H43" s="200">
        <f t="shared" ref="H43:H49" si="7">G43*C43</f>
        <v>23441.217845690386</v>
      </c>
      <c r="I43" s="201">
        <f t="shared" ref="I43:I49" si="8">H43/1000</f>
        <v>23.441217845690385</v>
      </c>
    </row>
    <row r="44" spans="1:9">
      <c r="A44" s="164" t="s">
        <v>437</v>
      </c>
      <c r="B44" s="202" t="s">
        <v>444</v>
      </c>
      <c r="C44" s="197">
        <f t="shared" ref="C44:C49" si="9">D22</f>
        <v>628.755</v>
      </c>
      <c r="D44" s="2">
        <f>-'SPRFV - Cara Larga'!H13</f>
        <v>26.227424326077177</v>
      </c>
      <c r="E44" s="198">
        <f t="shared" si="5"/>
        <v>16490.624182142656</v>
      </c>
      <c r="F44" s="199">
        <f t="shared" si="6"/>
        <v>16.490624182142657</v>
      </c>
      <c r="G44" s="2">
        <f>-'SPRFV - Cara Larga'!H23</f>
        <v>10.621023074196543</v>
      </c>
      <c r="H44" s="200">
        <f>G44*C44</f>
        <v>6678.0213630164471</v>
      </c>
      <c r="I44" s="201">
        <f t="shared" si="8"/>
        <v>6.6780213630164473</v>
      </c>
    </row>
    <row r="45" spans="1:9">
      <c r="A45" s="164" t="s">
        <v>115</v>
      </c>
      <c r="B45" s="196" t="s">
        <v>445</v>
      </c>
      <c r="C45" s="197">
        <f t="shared" si="9"/>
        <v>409.5</v>
      </c>
      <c r="D45" s="2">
        <f>'SPRFV - Cara Larga'!H14</f>
        <v>-33.597113806131915</v>
      </c>
      <c r="E45" s="198">
        <f t="shared" si="5"/>
        <v>-13758.018103611019</v>
      </c>
      <c r="F45" s="199">
        <f t="shared" si="6"/>
        <v>-13.758018103611018</v>
      </c>
      <c r="G45" s="2">
        <f>'SPRFV - Cara Larga'!H24</f>
        <v>-17.990712554251285</v>
      </c>
      <c r="H45" s="200">
        <f t="shared" si="7"/>
        <v>-7367.1967909659015</v>
      </c>
      <c r="I45" s="201">
        <f t="shared" si="8"/>
        <v>-7.3671967909659015</v>
      </c>
    </row>
    <row r="46" spans="1:9">
      <c r="A46" s="164" t="s">
        <v>116</v>
      </c>
      <c r="B46" s="203" t="s">
        <v>439</v>
      </c>
      <c r="C46" s="197">
        <f t="shared" si="9"/>
        <v>205.03520648083833</v>
      </c>
      <c r="D46" s="2">
        <f>'SPRFV - Cara Larga'!H15</f>
        <v>-40.966803286186661</v>
      </c>
      <c r="E46" s="198">
        <f t="shared" si="5"/>
        <v>-8399.6369706431688</v>
      </c>
      <c r="F46" s="199">
        <f t="shared" si="6"/>
        <v>-8.3996369706431686</v>
      </c>
      <c r="G46" s="2">
        <f>'SPRFV - Cara Larga'!H25</f>
        <v>-25.360402034306031</v>
      </c>
      <c r="H46" s="200">
        <f t="shared" si="7"/>
        <v>-5199.7752675410093</v>
      </c>
      <c r="I46" s="201">
        <f t="shared" si="8"/>
        <v>-5.1997752675410096</v>
      </c>
    </row>
    <row r="47" spans="1:9">
      <c r="A47" s="164" t="s">
        <v>117</v>
      </c>
      <c r="B47" s="203" t="s">
        <v>439</v>
      </c>
      <c r="C47" s="197">
        <f t="shared" si="9"/>
        <v>205.03520648083833</v>
      </c>
      <c r="D47" s="2">
        <f>'SPRFV - Cara Larga'!H16</f>
        <v>-40.966803286186661</v>
      </c>
      <c r="E47" s="198">
        <f t="shared" si="5"/>
        <v>-8399.6369706431688</v>
      </c>
      <c r="F47" s="199">
        <f t="shared" si="6"/>
        <v>-8.3996369706431686</v>
      </c>
      <c r="G47" s="2">
        <f>'SPRFV - Cara Larga'!H26</f>
        <v>-25.360402034306031</v>
      </c>
      <c r="H47" s="200">
        <f t="shared" si="7"/>
        <v>-5199.7752675410093</v>
      </c>
      <c r="I47" s="201">
        <f t="shared" si="8"/>
        <v>-5.1997752675410096</v>
      </c>
    </row>
    <row r="48" spans="1:9">
      <c r="A48" s="164" t="s">
        <v>118</v>
      </c>
      <c r="B48" s="203" t="s">
        <v>439</v>
      </c>
      <c r="C48" s="197">
        <f t="shared" si="9"/>
        <v>410.07041296167665</v>
      </c>
      <c r="D48" s="2">
        <f>'SPRFV - Cara Larga'!H17</f>
        <v>-26.227424326077177</v>
      </c>
      <c r="E48" s="198">
        <f t="shared" si="5"/>
        <v>-10755.090724315593</v>
      </c>
      <c r="F48" s="199">
        <f t="shared" si="6"/>
        <v>-10.755090724315593</v>
      </c>
      <c r="G48" s="2">
        <f>'SPRFV - Cara Larga'!H27</f>
        <v>-10.621023074196543</v>
      </c>
      <c r="H48" s="200">
        <f t="shared" si="7"/>
        <v>-4355.3673181112727</v>
      </c>
      <c r="I48" s="201">
        <f t="shared" si="8"/>
        <v>-4.3553673181112726</v>
      </c>
    </row>
    <row r="49" spans="1:9">
      <c r="A49" s="164" t="s">
        <v>119</v>
      </c>
      <c r="B49" s="203" t="s">
        <v>439</v>
      </c>
      <c r="C49" s="197">
        <f t="shared" si="9"/>
        <v>3360.6747396810424</v>
      </c>
      <c r="D49" s="2">
        <f>'SPRFV - Cara Larga'!H18</f>
        <v>-18.857734846022431</v>
      </c>
      <c r="E49" s="198">
        <f t="shared" si="5"/>
        <v>-63374.713144630558</v>
      </c>
      <c r="F49" s="199">
        <f t="shared" si="6"/>
        <v>-63.374713144630554</v>
      </c>
      <c r="G49" s="2">
        <f>'SPRFV - Cara Larga'!H28</f>
        <v>-3.2513335941417996</v>
      </c>
      <c r="H49" s="200">
        <f t="shared" si="7"/>
        <v>-10926.674680108721</v>
      </c>
      <c r="I49" s="201">
        <f t="shared" si="8"/>
        <v>-10.926674680108722</v>
      </c>
    </row>
    <row r="50" spans="1:9">
      <c r="A50" s="214" t="s">
        <v>446</v>
      </c>
      <c r="B50" s="215" t="s">
        <v>447</v>
      </c>
      <c r="C50" s="216"/>
      <c r="D50" s="216"/>
      <c r="E50" s="217">
        <f>E43+E44</f>
        <v>30119.239208706837</v>
      </c>
      <c r="F50" s="218">
        <f>F43+F44</f>
        <v>30.119239208706837</v>
      </c>
      <c r="G50" s="216"/>
      <c r="H50" s="217">
        <f>H43+H44</f>
        <v>30119.239208706833</v>
      </c>
      <c r="I50" s="218">
        <f>I43+I44</f>
        <v>30.119239208706833</v>
      </c>
    </row>
    <row r="51" spans="1:9">
      <c r="A51" s="209" t="s">
        <v>448</v>
      </c>
      <c r="B51" s="210" t="s">
        <v>443</v>
      </c>
      <c r="C51" s="211"/>
      <c r="D51" s="211"/>
      <c r="E51" s="212">
        <f>E46+E47+E48+E49</f>
        <v>-90929.077810232484</v>
      </c>
      <c r="F51" s="213">
        <f>F46+F47+F48+F49</f>
        <v>-90.929077810232485</v>
      </c>
      <c r="G51" s="211"/>
      <c r="H51" s="212">
        <f>H46+H47+H48+H49</f>
        <v>-25681.592533302013</v>
      </c>
      <c r="I51" s="213">
        <f>I46+I47+I48+I49</f>
        <v>-25.681592533302013</v>
      </c>
    </row>
    <row r="53" spans="1:9">
      <c r="A53" s="234" t="s">
        <v>449</v>
      </c>
      <c r="B53" s="234"/>
      <c r="C53" s="234"/>
      <c r="D53" s="234"/>
      <c r="E53" s="234"/>
      <c r="F53" s="234"/>
      <c r="G53" s="234"/>
      <c r="H53" s="234"/>
      <c r="I53" s="234"/>
    </row>
    <row r="54" spans="1:9">
      <c r="A54" s="253" t="s">
        <v>450</v>
      </c>
      <c r="B54" s="254"/>
      <c r="C54" s="254"/>
      <c r="D54" s="254"/>
      <c r="E54" s="254"/>
      <c r="F54" s="254"/>
      <c r="G54" s="254"/>
      <c r="H54" s="254"/>
      <c r="I54" s="254"/>
    </row>
    <row r="55" spans="1:9">
      <c r="A55" s="253" t="s">
        <v>451</v>
      </c>
      <c r="B55" s="254"/>
      <c r="C55" s="254"/>
      <c r="D55" s="254"/>
      <c r="E55" s="254"/>
      <c r="F55" s="254"/>
      <c r="G55" s="254"/>
      <c r="H55" s="254"/>
      <c r="I55" s="254"/>
    </row>
    <row r="56" spans="1:9">
      <c r="A56" s="253" t="s">
        <v>452</v>
      </c>
      <c r="B56" s="254"/>
      <c r="C56" s="254"/>
      <c r="D56" s="254"/>
      <c r="E56" s="254"/>
      <c r="F56" s="254"/>
      <c r="G56" s="254"/>
      <c r="H56" s="254"/>
      <c r="I56" s="254"/>
    </row>
    <row r="57" spans="1:9">
      <c r="A57" s="253" t="s">
        <v>453</v>
      </c>
      <c r="B57" s="254"/>
      <c r="C57" s="254"/>
      <c r="D57" s="254"/>
      <c r="E57" s="254"/>
      <c r="F57" s="254"/>
      <c r="G57" s="254"/>
      <c r="H57" s="254"/>
      <c r="I57" s="254"/>
    </row>
    <row r="58" spans="1:9">
      <c r="A58" s="253" t="s">
        <v>454</v>
      </c>
      <c r="B58" s="254"/>
      <c r="C58" s="254"/>
      <c r="D58" s="254"/>
      <c r="E58" s="254"/>
      <c r="F58" s="254"/>
      <c r="G58" s="254"/>
      <c r="H58" s="254"/>
      <c r="I58" s="254"/>
    </row>
  </sheetData>
  <mergeCells count="13">
    <mergeCell ref="A31:I31"/>
    <mergeCell ref="A1:I1"/>
    <mergeCell ref="A2:I2"/>
    <mergeCell ref="A4:I4"/>
    <mergeCell ref="A12:I12"/>
    <mergeCell ref="A29:I29"/>
    <mergeCell ref="A58:I58"/>
    <mergeCell ref="A42:I42"/>
    <mergeCell ref="A53:I53"/>
    <mergeCell ref="A54:I54"/>
    <mergeCell ref="A55:I55"/>
    <mergeCell ref="A56:I56"/>
    <mergeCell ref="A57:I5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BA096-3CF4-4AC4-A644-AD0DD9AE04F9}">
  <dimension ref="A1:H7"/>
  <sheetViews>
    <sheetView workbookViewId="0">
      <selection activeCell="I12" sqref="I12"/>
    </sheetView>
  </sheetViews>
  <sheetFormatPr baseColWidth="10" defaultRowHeight="14.25"/>
  <sheetData>
    <row r="1" spans="1:8">
      <c r="A1" s="220" t="s">
        <v>466</v>
      </c>
      <c r="B1" s="222"/>
      <c r="C1" s="219"/>
      <c r="D1" s="219"/>
      <c r="E1" s="219"/>
      <c r="F1" s="219"/>
      <c r="G1" s="219"/>
      <c r="H1" s="219"/>
    </row>
    <row r="2" spans="1:8">
      <c r="A2" s="223" t="s">
        <v>467</v>
      </c>
      <c r="B2" s="223" t="s">
        <v>468</v>
      </c>
      <c r="C2" s="225" t="s">
        <v>469</v>
      </c>
      <c r="D2" s="225" t="s">
        <v>470</v>
      </c>
      <c r="E2" s="225" t="s">
        <v>471</v>
      </c>
      <c r="F2" s="225" t="s">
        <v>472</v>
      </c>
      <c r="G2" s="225" t="s">
        <v>473</v>
      </c>
      <c r="H2" s="225" t="s">
        <v>474</v>
      </c>
    </row>
    <row r="3" spans="1:8">
      <c r="A3" s="224" t="s">
        <v>475</v>
      </c>
      <c r="B3" s="224" t="s">
        <v>475</v>
      </c>
      <c r="C3" s="226" t="s">
        <v>476</v>
      </c>
      <c r="D3" s="226" t="s">
        <v>476</v>
      </c>
      <c r="E3" s="226" t="s">
        <v>476</v>
      </c>
      <c r="F3" s="226" t="s">
        <v>477</v>
      </c>
      <c r="G3" s="226" t="s">
        <v>477</v>
      </c>
      <c r="H3" s="226" t="s">
        <v>477</v>
      </c>
    </row>
    <row r="4" spans="1:8">
      <c r="A4" s="221" t="s">
        <v>461</v>
      </c>
      <c r="B4" s="221" t="s">
        <v>462</v>
      </c>
      <c r="C4">
        <v>-17.581800000000001</v>
      </c>
      <c r="D4">
        <v>1.2950000000000001E-6</v>
      </c>
      <c r="E4">
        <v>-90.522499999999994</v>
      </c>
      <c r="F4">
        <v>-2263.0636599999998</v>
      </c>
      <c r="G4">
        <v>3284.78242</v>
      </c>
      <c r="H4">
        <v>439.59231999999997</v>
      </c>
    </row>
    <row r="5" spans="1:8">
      <c r="A5" s="221" t="s">
        <v>463</v>
      </c>
      <c r="B5" s="221" t="s">
        <v>462</v>
      </c>
      <c r="C5">
        <v>-17.581800000000001</v>
      </c>
      <c r="D5">
        <v>1.229E-6</v>
      </c>
      <c r="E5">
        <v>-25.3658</v>
      </c>
      <c r="F5">
        <v>-634.14553000000001</v>
      </c>
      <c r="G5">
        <v>564.48914000000002</v>
      </c>
      <c r="H5">
        <v>439.59231</v>
      </c>
    </row>
    <row r="6" spans="1:8">
      <c r="A6" s="221" t="s">
        <v>464</v>
      </c>
      <c r="B6" s="221" t="s">
        <v>462</v>
      </c>
      <c r="C6">
        <v>-2.5540000000000001E-14</v>
      </c>
      <c r="D6">
        <v>-29.079499999999999</v>
      </c>
      <c r="E6">
        <v>-98.422899999999998</v>
      </c>
      <c r="F6">
        <v>-1981.1865399999999</v>
      </c>
      <c r="G6">
        <v>4109.1541200000001</v>
      </c>
      <c r="H6">
        <v>-1214.08762</v>
      </c>
    </row>
    <row r="7" spans="1:8">
      <c r="A7" s="221" t="s">
        <v>465</v>
      </c>
      <c r="B7" s="221" t="s">
        <v>462</v>
      </c>
      <c r="C7">
        <v>-2.134E-14</v>
      </c>
      <c r="D7">
        <v>-29.079499999999999</v>
      </c>
      <c r="E7">
        <v>-33.266100000000002</v>
      </c>
      <c r="F7">
        <v>-352.26839999999999</v>
      </c>
      <c r="G7">
        <v>1388.8608400000001</v>
      </c>
      <c r="H7">
        <v>-1214.08763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Presión de Viento</vt:lpstr>
      <vt:lpstr>Presiones vs Altura</vt:lpstr>
      <vt:lpstr>Cp - techos</vt:lpstr>
      <vt:lpstr>Resumen Cp</vt:lpstr>
      <vt:lpstr>SPRFV - Cara Corta</vt:lpstr>
      <vt:lpstr>SPRFV - Cara Larga</vt:lpstr>
      <vt:lpstr>Fuerzas Totales</vt:lpstr>
      <vt:lpstr>FUERZAS SAP2000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Cristofer Bordones Armijo</dc:creator>
  <cp:lastModifiedBy>Cristofer Bordones Armijo</cp:lastModifiedBy>
  <dcterms:created xsi:type="dcterms:W3CDTF">2026-04-22T17:20:06Z</dcterms:created>
  <dcterms:modified xsi:type="dcterms:W3CDTF">2026-06-09T20:24:33Z</dcterms:modified>
</cp:coreProperties>
</file>